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s fiscales\King Dirver, C.A\IVA MAYO 2026\"/>
    </mc:Choice>
  </mc:AlternateContent>
  <xr:revisionPtr revIDLastSave="0" documentId="13_ncr:1_{A9C5CC35-AEE8-4026-82DE-3D32B03B6153}" xr6:coauthVersionLast="47" xr6:coauthVersionMax="47" xr10:uidLastSave="{00000000-0000-0000-0000-000000000000}"/>
  <bookViews>
    <workbookView xWindow="-120" yWindow="-120" windowWidth="20730" windowHeight="11160" xr2:uid="{B811DCE1-C6D5-4BE1-A725-50EB07801725}"/>
  </bookViews>
  <sheets>
    <sheet name="Data" sheetId="5" r:id="rId1"/>
  </sheets>
  <definedNames>
    <definedName name="_xlnm._FilterDatabase" localSheetId="0" hidden="1">Data!$A$1:$L$42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5" l="1"/>
  <c r="G42" i="5" s="1"/>
  <c r="K41" i="5"/>
  <c r="G41" i="5" s="1"/>
  <c r="K39" i="5"/>
  <c r="G39" i="5" s="1"/>
  <c r="K38" i="5"/>
  <c r="G38" i="5" s="1"/>
  <c r="K37" i="5"/>
  <c r="G37" i="5" s="1"/>
  <c r="K36" i="5"/>
  <c r="G36" i="5" s="1"/>
  <c r="K35" i="5"/>
  <c r="G35" i="5" s="1"/>
  <c r="K34" i="5"/>
  <c r="G34" i="5" s="1"/>
  <c r="K33" i="5"/>
  <c r="G33" i="5" s="1"/>
  <c r="K32" i="5"/>
  <c r="G32" i="5" s="1"/>
  <c r="K31" i="5"/>
  <c r="G31" i="5" s="1"/>
  <c r="K30" i="5"/>
  <c r="G30" i="5" s="1"/>
  <c r="K29" i="5"/>
  <c r="G29" i="5" s="1"/>
  <c r="K28" i="5"/>
  <c r="G28" i="5" s="1"/>
  <c r="K27" i="5"/>
  <c r="G27" i="5" s="1"/>
  <c r="K26" i="5"/>
  <c r="G26" i="5" s="1"/>
  <c r="K25" i="5"/>
  <c r="G25" i="5" s="1"/>
  <c r="K24" i="5"/>
  <c r="G24" i="5" s="1"/>
  <c r="K23" i="5"/>
  <c r="G23" i="5" s="1"/>
  <c r="K22" i="5"/>
  <c r="G22" i="5" s="1"/>
  <c r="K21" i="5"/>
  <c r="G21" i="5" s="1"/>
  <c r="K20" i="5"/>
  <c r="G20" i="5" s="1"/>
  <c r="K19" i="5"/>
  <c r="G19" i="5" s="1"/>
  <c r="K18" i="5"/>
  <c r="G18" i="5" s="1"/>
  <c r="K17" i="5"/>
  <c r="G17" i="5" s="1"/>
  <c r="K16" i="5"/>
  <c r="G16" i="5" s="1"/>
  <c r="K15" i="5"/>
  <c r="G15" i="5" s="1"/>
  <c r="K14" i="5"/>
  <c r="G14" i="5" s="1"/>
  <c r="K13" i="5"/>
  <c r="G13" i="5" s="1"/>
  <c r="K12" i="5"/>
  <c r="G12" i="5" s="1"/>
  <c r="K11" i="5"/>
  <c r="G11" i="5" s="1"/>
  <c r="K10" i="5"/>
  <c r="G10" i="5" s="1"/>
  <c r="K9" i="5"/>
  <c r="G9" i="5" s="1"/>
  <c r="K8" i="5"/>
  <c r="G8" i="5" s="1"/>
  <c r="K7" i="5"/>
  <c r="G7" i="5" s="1"/>
  <c r="K6" i="5"/>
  <c r="G6" i="5" s="1"/>
  <c r="K5" i="5"/>
  <c r="G5" i="5" s="1"/>
  <c r="K4" i="5"/>
  <c r="G4" i="5" s="1"/>
  <c r="K3" i="5"/>
  <c r="G3" i="5" s="1"/>
  <c r="K2" i="5"/>
  <c r="G2" i="5" s="1"/>
  <c r="K40" i="5"/>
  <c r="G40" i="5" s="1"/>
</calcChain>
</file>

<file path=xl/sharedStrings.xml><?xml version="1.0" encoding="utf-8"?>
<sst xmlns="http://schemas.openxmlformats.org/spreadsheetml/2006/main" count="139" uniqueCount="85">
  <si>
    <t>Tipo de Documento</t>
  </si>
  <si>
    <t>Número de Documento</t>
  </si>
  <si>
    <t>Número de Control</t>
  </si>
  <si>
    <t>Nombre o Razón Social</t>
  </si>
  <si>
    <t>R.I.F.</t>
  </si>
  <si>
    <t>Total Compras</t>
  </si>
  <si>
    <t>Compras Exentas</t>
  </si>
  <si>
    <t>Base Imponible</t>
  </si>
  <si>
    <t>Fecha de 
Operación</t>
  </si>
  <si>
    <t>Credito Fiscales</t>
  </si>
  <si>
    <t>Alicuota
 (%)</t>
  </si>
  <si>
    <t>REIKO IMPORT, C.A.</t>
  </si>
  <si>
    <t>AGRORUEDAS CHAKAO, C.A.</t>
  </si>
  <si>
    <t>DISTRIBUIDORA FREPARTES C.A.</t>
  </si>
  <si>
    <t>DE TODO RESPUESTO AUTOMOTRIZ, C.A.</t>
  </si>
  <si>
    <t>TECNICA DE EMBRAGUES DOBLE INTOCABLES 2010, C.A.</t>
  </si>
  <si>
    <t>REPUESTOS Y AUTOSERVICIO LA PAZ, C.A.</t>
  </si>
  <si>
    <t>REPUESTOS YOGERES 06, C.A.</t>
  </si>
  <si>
    <t>MULTIREPUESTOS CHINA PARTS 1668, C.A</t>
  </si>
  <si>
    <t>J298420065</t>
  </si>
  <si>
    <t>J410230940</t>
  </si>
  <si>
    <t>J313445320</t>
  </si>
  <si>
    <t>J298830514</t>
  </si>
  <si>
    <t>J000622884</t>
  </si>
  <si>
    <t>J298524545</t>
  </si>
  <si>
    <t>J504638994</t>
  </si>
  <si>
    <t>J500732023</t>
  </si>
  <si>
    <t>J317555364</t>
  </si>
  <si>
    <t>00-001974</t>
  </si>
  <si>
    <t>00-050775</t>
  </si>
  <si>
    <t>00-009265</t>
  </si>
  <si>
    <t>1FC7002209</t>
  </si>
  <si>
    <t>SERVICIO TECNICO DE CAUCHOS ESTADIUM, C.A.</t>
  </si>
  <si>
    <t>ZZL0002373</t>
  </si>
  <si>
    <t>ZZN0003547</t>
  </si>
  <si>
    <t>E000000230</t>
  </si>
  <si>
    <t>J502708405</t>
  </si>
  <si>
    <t>J311359036</t>
  </si>
  <si>
    <t>J308562157</t>
  </si>
  <si>
    <t>J507891054</t>
  </si>
  <si>
    <t>J501690260</t>
  </si>
  <si>
    <t>J001598693</t>
  </si>
  <si>
    <t>J505670743</t>
  </si>
  <si>
    <t>J409416860</t>
  </si>
  <si>
    <t>J317239199</t>
  </si>
  <si>
    <t>J315404354</t>
  </si>
  <si>
    <t>J504589616</t>
  </si>
  <si>
    <t>J506138387</t>
  </si>
  <si>
    <t>PANADERIA, PASTELERIA Y DELICATESES AVINTES, C.A.</t>
  </si>
  <si>
    <t>PROMOTORA METROPOLITANA, DE RESTAURANTES 25, C.A.</t>
  </si>
  <si>
    <t>INVERSIONES RG 11-32 C.A.</t>
  </si>
  <si>
    <t>CONSORCIO IRB CCS, C.A.</t>
  </si>
  <si>
    <t>FTL SBL CCS, C.A.</t>
  </si>
  <si>
    <t>Pasta Morandi, C.A.</t>
  </si>
  <si>
    <t>Comercializadora TUA 2024, C.A.</t>
  </si>
  <si>
    <t>Grupo Canel, C.A.</t>
  </si>
  <si>
    <t>INVERSIONES FLORENCIA 77, C.A.</t>
  </si>
  <si>
    <t>INVERSIONES FRAGANCE II 1999 C.A.</t>
  </si>
  <si>
    <t>MYKONOS GREEK FOOD, C.A.</t>
  </si>
  <si>
    <t>MERAKI 222, C.A.</t>
  </si>
  <si>
    <t>ZZP0018130</t>
  </si>
  <si>
    <t>Z7C7038186</t>
  </si>
  <si>
    <t>Z7C0028754</t>
  </si>
  <si>
    <t>ZZP0021188</t>
  </si>
  <si>
    <t>Z7C0022860</t>
  </si>
  <si>
    <t>Z7C0028758</t>
  </si>
  <si>
    <t>ZZP0013674</t>
  </si>
  <si>
    <t>Z7C7022224</t>
  </si>
  <si>
    <t>Z7C7000300</t>
  </si>
  <si>
    <t>TIE2500154</t>
  </si>
  <si>
    <t>ZZP0006818</t>
  </si>
  <si>
    <t>ZZP0011912</t>
  </si>
  <si>
    <t>00-0001</t>
  </si>
  <si>
    <t>GABRIAN JOELRODRIGUEZ SALCEDO</t>
  </si>
  <si>
    <t>V238076869</t>
  </si>
  <si>
    <t>JORGE E. GONZALES SILVA</t>
  </si>
  <si>
    <t>V056081042</t>
  </si>
  <si>
    <t>00-000158</t>
  </si>
  <si>
    <t>MULTISERVICIOS C.J.P.J.D 2025, C.A.</t>
  </si>
  <si>
    <t>J507273164</t>
  </si>
  <si>
    <t>00-000007</t>
  </si>
  <si>
    <t>00-000008</t>
  </si>
  <si>
    <t>CASHEA</t>
  </si>
  <si>
    <t>OP</t>
  </si>
  <si>
    <t>BDV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</si>
</sst>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0"/>
    <numFmt numFmtId="165" formatCode="yyyy\-mm\-dd"/>
    <numFmt numFmtId="166" formatCode="00000000"/>
    <numFmt numFmtId="167" formatCode="000000"/>
    <numFmt numFmtId="168" formatCode="0000000"/>
    <numFmt numFmtId="169" formatCode="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43" fontId="4" fillId="2" borderId="1" xfId="1" applyFont="1" applyFill="1" applyBorder="1"/>
    <xf numFmtId="167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6" fontId="4" fillId="2" borderId="3" xfId="0" applyNumberFormat="1" applyFont="1" applyFill="1" applyBorder="1" applyAlignment="1">
      <alignment horizontal="right"/>
    </xf>
    <xf numFmtId="0" fontId="3" fillId="3" borderId="2" xfId="0" applyFont="1" applyFill="1" applyBorder="1" applyAlignment="1">
      <alignment horizontal="right" vertical="center" wrapText="1"/>
    </xf>
    <xf numFmtId="167" fontId="4" fillId="2" borderId="3" xfId="0" applyNumberFormat="1" applyFont="1" applyFill="1" applyBorder="1" applyAlignment="1">
      <alignment horizontal="right"/>
    </xf>
    <xf numFmtId="166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167" fontId="4" fillId="2" borderId="1" xfId="0" applyNumberFormat="1" applyFont="1" applyFill="1" applyBorder="1" applyAlignment="1">
      <alignment horizontal="right"/>
    </xf>
    <xf numFmtId="168" fontId="4" fillId="2" borderId="1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69" fontId="4" fillId="2" borderId="1" xfId="0" applyNumberFormat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ECCA-9697-4F3F-BC68-BDA0AF75FBA3}">
  <dimension ref="A1:Q42"/>
  <sheetViews>
    <sheetView tabSelected="1" zoomScale="90" zoomScaleNormal="90" workbookViewId="0">
      <selection sqref="A1:L42"/>
    </sheetView>
  </sheetViews>
  <sheetFormatPr baseColWidth="10" defaultRowHeight="11.25" x14ac:dyDescent="0.2"/>
  <cols>
    <col min="1" max="1" width="10.28515625" style="2" bestFit="1" customWidth="1"/>
    <col min="2" max="2" width="11.28515625" style="2" customWidth="1"/>
    <col min="3" max="3" width="14" style="20" customWidth="1"/>
    <col min="4" max="4" width="11.42578125" style="2"/>
    <col min="5" max="5" width="44.85546875" style="2" bestFit="1" customWidth="1"/>
    <col min="6" max="6" width="11.42578125" style="12"/>
    <col min="7" max="9" width="11.42578125" style="2"/>
    <col min="10" max="10" width="7.28515625" style="2" bestFit="1" customWidth="1"/>
    <col min="11" max="11" width="13.28515625" style="2" bestFit="1" customWidth="1"/>
    <col min="12" max="15" width="11.42578125" style="2"/>
    <col min="16" max="16" width="13.7109375" style="2" bestFit="1" customWidth="1"/>
    <col min="17" max="17" width="15.28515625" style="2" customWidth="1"/>
    <col min="18" max="16384" width="11.42578125" style="2"/>
  </cols>
  <sheetData>
    <row r="1" spans="1:17" s="3" customFormat="1" ht="39.75" customHeight="1" x14ac:dyDescent="0.2">
      <c r="A1" s="1" t="s">
        <v>8</v>
      </c>
      <c r="B1" s="1" t="s">
        <v>0</v>
      </c>
      <c r="C1" s="1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9</v>
      </c>
      <c r="L1" s="2" t="s">
        <v>83</v>
      </c>
      <c r="M1" s="2"/>
      <c r="N1" s="2"/>
      <c r="O1" s="2"/>
      <c r="P1" s="2"/>
      <c r="Q1" s="2"/>
    </row>
    <row r="2" spans="1:17" ht="10.5" customHeight="1" x14ac:dyDescent="0.2">
      <c r="A2" s="4">
        <v>46147</v>
      </c>
      <c r="B2" s="5">
        <v>1</v>
      </c>
      <c r="C2" s="15">
        <v>10765</v>
      </c>
      <c r="D2" s="9" t="s">
        <v>30</v>
      </c>
      <c r="E2" s="8" t="s">
        <v>13</v>
      </c>
      <c r="F2" s="9" t="s">
        <v>21</v>
      </c>
      <c r="G2" s="10">
        <f t="shared" ref="G2:G39" si="0">H2+I2+K2</f>
        <v>5798.3760000000002</v>
      </c>
      <c r="H2" s="10">
        <v>0</v>
      </c>
      <c r="I2" s="10">
        <v>4998.6000000000004</v>
      </c>
      <c r="J2" s="7">
        <v>16</v>
      </c>
      <c r="K2" s="10">
        <f t="shared" ref="K2:K39" si="1">(I2*J2)/100</f>
        <v>799.77600000000007</v>
      </c>
    </row>
    <row r="3" spans="1:17" x14ac:dyDescent="0.2">
      <c r="A3" s="4">
        <v>46147</v>
      </c>
      <c r="B3" s="5">
        <v>1</v>
      </c>
      <c r="C3" s="13">
        <v>19075</v>
      </c>
      <c r="D3" s="9" t="s">
        <v>60</v>
      </c>
      <c r="E3" s="8" t="s">
        <v>48</v>
      </c>
      <c r="F3" s="9" t="s">
        <v>36</v>
      </c>
      <c r="G3" s="10">
        <f t="shared" si="0"/>
        <v>8916.3780000000006</v>
      </c>
      <c r="H3" s="10">
        <v>4900.3999999999996</v>
      </c>
      <c r="I3" s="10">
        <v>3462.05</v>
      </c>
      <c r="J3" s="7">
        <v>16</v>
      </c>
      <c r="K3" s="10">
        <f t="shared" si="1"/>
        <v>553.928</v>
      </c>
    </row>
    <row r="4" spans="1:17" x14ac:dyDescent="0.2">
      <c r="A4" s="4">
        <v>46150</v>
      </c>
      <c r="B4" s="5">
        <v>1</v>
      </c>
      <c r="C4" s="13">
        <v>35829</v>
      </c>
      <c r="D4" s="9" t="s">
        <v>35</v>
      </c>
      <c r="E4" s="8" t="s">
        <v>17</v>
      </c>
      <c r="F4" s="9" t="s">
        <v>26</v>
      </c>
      <c r="G4" s="10">
        <f t="shared" si="0"/>
        <v>9997.2048000000013</v>
      </c>
      <c r="H4" s="10">
        <v>0</v>
      </c>
      <c r="I4" s="10">
        <v>8618.2800000000007</v>
      </c>
      <c r="J4" s="7">
        <v>16</v>
      </c>
      <c r="K4" s="10">
        <f t="shared" si="1"/>
        <v>1378.9248</v>
      </c>
    </row>
    <row r="5" spans="1:17" x14ac:dyDescent="0.2">
      <c r="A5" s="4">
        <v>46150</v>
      </c>
      <c r="B5" s="5">
        <v>1</v>
      </c>
      <c r="C5" s="13">
        <v>51789</v>
      </c>
      <c r="D5" s="9" t="s">
        <v>61</v>
      </c>
      <c r="E5" s="8" t="s">
        <v>49</v>
      </c>
      <c r="F5" s="9" t="s">
        <v>37</v>
      </c>
      <c r="G5" s="10">
        <f t="shared" si="0"/>
        <v>8997.482</v>
      </c>
      <c r="H5" s="10">
        <v>0</v>
      </c>
      <c r="I5" s="10">
        <v>7756.45</v>
      </c>
      <c r="J5" s="7">
        <v>16</v>
      </c>
      <c r="K5" s="10">
        <f t="shared" si="1"/>
        <v>1241.0319999999999</v>
      </c>
    </row>
    <row r="6" spans="1:17" ht="12" customHeight="1" x14ac:dyDescent="0.2">
      <c r="A6" s="4">
        <v>46150</v>
      </c>
      <c r="B6" s="5">
        <v>1</v>
      </c>
      <c r="C6" s="13">
        <v>36085</v>
      </c>
      <c r="D6" s="9" t="s">
        <v>67</v>
      </c>
      <c r="E6" s="8" t="s">
        <v>55</v>
      </c>
      <c r="F6" s="9" t="s">
        <v>43</v>
      </c>
      <c r="G6" s="10">
        <f t="shared" si="0"/>
        <v>4528.3732</v>
      </c>
      <c r="H6" s="10">
        <v>0</v>
      </c>
      <c r="I6" s="10">
        <v>3903.77</v>
      </c>
      <c r="J6" s="7">
        <v>16</v>
      </c>
      <c r="K6" s="10">
        <f t="shared" si="1"/>
        <v>624.60320000000002</v>
      </c>
    </row>
    <row r="7" spans="1:17" x14ac:dyDescent="0.2">
      <c r="A7" s="4">
        <v>46150</v>
      </c>
      <c r="B7" s="5">
        <v>1</v>
      </c>
      <c r="C7" s="13">
        <v>84203</v>
      </c>
      <c r="D7" s="9" t="s">
        <v>70</v>
      </c>
      <c r="E7" s="8" t="s">
        <v>58</v>
      </c>
      <c r="F7" s="9" t="s">
        <v>46</v>
      </c>
      <c r="G7" s="10">
        <f t="shared" si="0"/>
        <v>4998.6024000000007</v>
      </c>
      <c r="H7" s="10">
        <v>0</v>
      </c>
      <c r="I7" s="10">
        <v>4309.1400000000003</v>
      </c>
      <c r="J7" s="7">
        <v>16</v>
      </c>
      <c r="K7" s="10">
        <f t="shared" si="1"/>
        <v>689.4624</v>
      </c>
    </row>
    <row r="8" spans="1:17" x14ac:dyDescent="0.2">
      <c r="A8" s="4">
        <v>46152</v>
      </c>
      <c r="B8" s="5">
        <v>1</v>
      </c>
      <c r="C8" s="13">
        <v>73940</v>
      </c>
      <c r="D8" s="9" t="s">
        <v>68</v>
      </c>
      <c r="E8" s="8" t="s">
        <v>56</v>
      </c>
      <c r="F8" s="9" t="s">
        <v>44</v>
      </c>
      <c r="G8" s="10">
        <f t="shared" si="0"/>
        <v>21217.571599999999</v>
      </c>
      <c r="H8" s="10">
        <v>0</v>
      </c>
      <c r="I8" s="10">
        <v>18291.009999999998</v>
      </c>
      <c r="J8" s="7">
        <v>16</v>
      </c>
      <c r="K8" s="10">
        <f t="shared" si="1"/>
        <v>2926.5615999999995</v>
      </c>
    </row>
    <row r="9" spans="1:17" x14ac:dyDescent="0.2">
      <c r="A9" s="4">
        <v>46152</v>
      </c>
      <c r="B9" s="5">
        <v>1</v>
      </c>
      <c r="C9" s="13">
        <v>5265</v>
      </c>
      <c r="D9" s="9" t="s">
        <v>69</v>
      </c>
      <c r="E9" s="8" t="s">
        <v>57</v>
      </c>
      <c r="F9" s="9" t="s">
        <v>45</v>
      </c>
      <c r="G9" s="10">
        <f t="shared" si="0"/>
        <v>28340.018</v>
      </c>
      <c r="H9" s="10">
        <v>0</v>
      </c>
      <c r="I9" s="10">
        <v>24431.05</v>
      </c>
      <c r="J9" s="7">
        <v>16</v>
      </c>
      <c r="K9" s="10">
        <f t="shared" si="1"/>
        <v>3908.9679999999998</v>
      </c>
    </row>
    <row r="10" spans="1:17" x14ac:dyDescent="0.2">
      <c r="A10" s="4">
        <v>46153</v>
      </c>
      <c r="B10" s="5">
        <v>1</v>
      </c>
      <c r="C10" s="13">
        <v>2021</v>
      </c>
      <c r="D10" s="9" t="s">
        <v>34</v>
      </c>
      <c r="E10" s="8" t="s">
        <v>15</v>
      </c>
      <c r="F10" s="9" t="s">
        <v>24</v>
      </c>
      <c r="G10" s="10">
        <f t="shared" si="0"/>
        <v>35399.998400000004</v>
      </c>
      <c r="H10" s="10">
        <v>0</v>
      </c>
      <c r="I10" s="10">
        <v>30517.24</v>
      </c>
      <c r="J10" s="7">
        <v>16</v>
      </c>
      <c r="K10" s="10">
        <f t="shared" si="1"/>
        <v>4882.7584000000006</v>
      </c>
    </row>
    <row r="11" spans="1:17" x14ac:dyDescent="0.2">
      <c r="A11" s="4">
        <v>46153</v>
      </c>
      <c r="B11" s="5">
        <v>1</v>
      </c>
      <c r="C11" s="16">
        <v>3343</v>
      </c>
      <c r="D11" s="9" t="s">
        <v>66</v>
      </c>
      <c r="E11" s="8" t="s">
        <v>54</v>
      </c>
      <c r="F11" s="9" t="s">
        <v>42</v>
      </c>
      <c r="G11" s="10">
        <f t="shared" si="0"/>
        <v>16334.5604</v>
      </c>
      <c r="H11" s="10">
        <v>1296.3900000000001</v>
      </c>
      <c r="I11" s="10">
        <v>12963.94</v>
      </c>
      <c r="J11" s="7">
        <v>16</v>
      </c>
      <c r="K11" s="10">
        <f t="shared" si="1"/>
        <v>2074.2303999999999</v>
      </c>
    </row>
    <row r="12" spans="1:17" x14ac:dyDescent="0.2">
      <c r="A12" s="4">
        <v>46154</v>
      </c>
      <c r="B12" s="5">
        <v>1</v>
      </c>
      <c r="C12" s="16">
        <v>52555</v>
      </c>
      <c r="D12" s="9" t="s">
        <v>61</v>
      </c>
      <c r="E12" s="8" t="s">
        <v>49</v>
      </c>
      <c r="F12" s="9" t="s">
        <v>37</v>
      </c>
      <c r="G12" s="10">
        <f t="shared" si="0"/>
        <v>7321.2124000000003</v>
      </c>
      <c r="H12" s="10">
        <v>0</v>
      </c>
      <c r="I12" s="10">
        <v>6311.39</v>
      </c>
      <c r="J12" s="7">
        <v>16</v>
      </c>
      <c r="K12" s="10">
        <f t="shared" si="1"/>
        <v>1009.8224</v>
      </c>
    </row>
    <row r="13" spans="1:17" x14ac:dyDescent="0.2">
      <c r="A13" s="4">
        <v>46154</v>
      </c>
      <c r="B13" s="5">
        <v>1</v>
      </c>
      <c r="C13" s="16">
        <v>959</v>
      </c>
      <c r="D13" s="9" t="s">
        <v>63</v>
      </c>
      <c r="E13" s="8" t="s">
        <v>51</v>
      </c>
      <c r="F13" s="9" t="s">
        <v>39</v>
      </c>
      <c r="G13" s="10">
        <f t="shared" si="0"/>
        <v>21350.0088</v>
      </c>
      <c r="H13" s="10">
        <v>0</v>
      </c>
      <c r="I13" s="10">
        <v>18405.18</v>
      </c>
      <c r="J13" s="7">
        <v>16</v>
      </c>
      <c r="K13" s="10">
        <f t="shared" si="1"/>
        <v>2944.8288000000002</v>
      </c>
    </row>
    <row r="14" spans="1:17" x14ac:dyDescent="0.2">
      <c r="A14" s="4">
        <v>46154</v>
      </c>
      <c r="B14" s="5">
        <v>1</v>
      </c>
      <c r="C14" s="16">
        <v>10523</v>
      </c>
      <c r="D14" s="9" t="s">
        <v>64</v>
      </c>
      <c r="E14" s="8" t="s">
        <v>52</v>
      </c>
      <c r="F14" s="9" t="s">
        <v>40</v>
      </c>
      <c r="G14" s="10">
        <f t="shared" si="0"/>
        <v>54530.753199999999</v>
      </c>
      <c r="H14" s="10">
        <v>0</v>
      </c>
      <c r="I14" s="10">
        <v>47009.27</v>
      </c>
      <c r="J14" s="7">
        <v>16</v>
      </c>
      <c r="K14" s="10">
        <f t="shared" si="1"/>
        <v>7521.4831999999997</v>
      </c>
    </row>
    <row r="15" spans="1:17" x14ac:dyDescent="0.2">
      <c r="A15" s="4">
        <v>46154</v>
      </c>
      <c r="B15" s="5">
        <v>1</v>
      </c>
      <c r="C15" s="16">
        <v>46952</v>
      </c>
      <c r="D15" s="9" t="s">
        <v>71</v>
      </c>
      <c r="E15" s="8" t="s">
        <v>59</v>
      </c>
      <c r="F15" s="9" t="s">
        <v>47</v>
      </c>
      <c r="G15" s="10">
        <f t="shared" si="0"/>
        <v>8078.5416000000005</v>
      </c>
      <c r="H15" s="10">
        <v>0</v>
      </c>
      <c r="I15" s="10">
        <v>6964.26</v>
      </c>
      <c r="J15" s="7">
        <v>16</v>
      </c>
      <c r="K15" s="10">
        <f t="shared" si="1"/>
        <v>1114.2816</v>
      </c>
    </row>
    <row r="16" spans="1:17" x14ac:dyDescent="0.2">
      <c r="A16" s="4">
        <v>46155</v>
      </c>
      <c r="B16" s="5">
        <v>1</v>
      </c>
      <c r="C16" s="16">
        <v>5995</v>
      </c>
      <c r="D16" s="6">
        <v>5995</v>
      </c>
      <c r="E16" s="8" t="s">
        <v>18</v>
      </c>
      <c r="F16" s="9" t="s">
        <v>27</v>
      </c>
      <c r="G16" s="10">
        <f t="shared" si="0"/>
        <v>54242.18</v>
      </c>
      <c r="H16" s="10">
        <v>0</v>
      </c>
      <c r="I16" s="10">
        <v>46760.5</v>
      </c>
      <c r="J16" s="7">
        <v>16</v>
      </c>
      <c r="K16" s="10">
        <f t="shared" si="1"/>
        <v>7481.68</v>
      </c>
      <c r="L16" s="2" t="s">
        <v>82</v>
      </c>
    </row>
    <row r="17" spans="1:12" x14ac:dyDescent="0.2">
      <c r="A17" s="4">
        <v>46155</v>
      </c>
      <c r="B17" s="5">
        <v>1</v>
      </c>
      <c r="C17" s="16">
        <v>2621</v>
      </c>
      <c r="D17" s="6" t="s">
        <v>33</v>
      </c>
      <c r="E17" s="8" t="s">
        <v>32</v>
      </c>
      <c r="F17" s="9" t="s">
        <v>23</v>
      </c>
      <c r="G17" s="10">
        <f t="shared" si="0"/>
        <v>20319.371999999999</v>
      </c>
      <c r="H17" s="10">
        <v>0</v>
      </c>
      <c r="I17" s="10">
        <v>17516.7</v>
      </c>
      <c r="J17" s="7">
        <v>16</v>
      </c>
      <c r="K17" s="10">
        <f t="shared" si="1"/>
        <v>2802.672</v>
      </c>
    </row>
    <row r="18" spans="1:12" x14ac:dyDescent="0.2">
      <c r="A18" s="4">
        <v>46155</v>
      </c>
      <c r="B18" s="5">
        <v>1</v>
      </c>
      <c r="C18" s="16">
        <v>2029</v>
      </c>
      <c r="D18" s="9" t="s">
        <v>34</v>
      </c>
      <c r="E18" s="8" t="s">
        <v>15</v>
      </c>
      <c r="F18" s="9" t="s">
        <v>24</v>
      </c>
      <c r="G18" s="10">
        <f t="shared" si="0"/>
        <v>41499.997600000002</v>
      </c>
      <c r="H18" s="10">
        <v>0</v>
      </c>
      <c r="I18" s="10">
        <v>35775.86</v>
      </c>
      <c r="J18" s="7">
        <v>16</v>
      </c>
      <c r="K18" s="10">
        <f t="shared" si="1"/>
        <v>5724.1376</v>
      </c>
    </row>
    <row r="19" spans="1:12" x14ac:dyDescent="0.2">
      <c r="A19" s="4">
        <v>46156</v>
      </c>
      <c r="B19" s="5">
        <v>1</v>
      </c>
      <c r="C19" s="16">
        <v>5996</v>
      </c>
      <c r="D19" s="6">
        <v>5996</v>
      </c>
      <c r="E19" s="8" t="s">
        <v>18</v>
      </c>
      <c r="F19" s="9" t="s">
        <v>27</v>
      </c>
      <c r="G19" s="10">
        <f t="shared" si="0"/>
        <v>26218.853599999999</v>
      </c>
      <c r="H19" s="10">
        <v>0</v>
      </c>
      <c r="I19" s="10">
        <v>22602.46</v>
      </c>
      <c r="J19" s="7">
        <v>16</v>
      </c>
      <c r="K19" s="10">
        <f t="shared" si="1"/>
        <v>3616.3935999999999</v>
      </c>
      <c r="L19" s="2" t="s">
        <v>82</v>
      </c>
    </row>
    <row r="20" spans="1:12" x14ac:dyDescent="0.2">
      <c r="A20" s="4">
        <v>46156</v>
      </c>
      <c r="B20" s="5">
        <v>1</v>
      </c>
      <c r="C20" s="16">
        <v>19657</v>
      </c>
      <c r="D20" s="9" t="s">
        <v>60</v>
      </c>
      <c r="E20" s="8" t="s">
        <v>48</v>
      </c>
      <c r="F20" s="9" t="s">
        <v>36</v>
      </c>
      <c r="G20" s="10">
        <f t="shared" si="0"/>
        <v>3371.2168000000001</v>
      </c>
      <c r="H20" s="10">
        <v>766.17</v>
      </c>
      <c r="I20" s="10">
        <v>2245.73</v>
      </c>
      <c r="J20" s="7">
        <v>16</v>
      </c>
      <c r="K20" s="10">
        <f t="shared" si="1"/>
        <v>359.3168</v>
      </c>
    </row>
    <row r="21" spans="1:12" x14ac:dyDescent="0.2">
      <c r="A21" s="4">
        <v>46159</v>
      </c>
      <c r="B21" s="5">
        <v>1</v>
      </c>
      <c r="C21" s="16">
        <v>53387</v>
      </c>
      <c r="D21" s="9" t="s">
        <v>61</v>
      </c>
      <c r="E21" s="8" t="s">
        <v>49</v>
      </c>
      <c r="F21" s="9" t="s">
        <v>37</v>
      </c>
      <c r="G21" s="10">
        <f t="shared" si="0"/>
        <v>10100.224399999999</v>
      </c>
      <c r="H21" s="10">
        <v>0</v>
      </c>
      <c r="I21" s="10">
        <v>8707.09</v>
      </c>
      <c r="J21" s="7">
        <v>16</v>
      </c>
      <c r="K21" s="10">
        <f t="shared" si="1"/>
        <v>1393.1343999999999</v>
      </c>
    </row>
    <row r="22" spans="1:12" x14ac:dyDescent="0.2">
      <c r="A22" s="4">
        <v>46160</v>
      </c>
      <c r="B22" s="5">
        <v>1</v>
      </c>
      <c r="C22" s="16">
        <v>6005</v>
      </c>
      <c r="D22" s="6">
        <v>6005</v>
      </c>
      <c r="E22" s="8" t="s">
        <v>18</v>
      </c>
      <c r="F22" s="9" t="s">
        <v>27</v>
      </c>
      <c r="G22" s="10">
        <f t="shared" si="0"/>
        <v>31497.143599999999</v>
      </c>
      <c r="H22" s="10">
        <v>0</v>
      </c>
      <c r="I22" s="10">
        <v>27152.71</v>
      </c>
      <c r="J22" s="7">
        <v>16</v>
      </c>
      <c r="K22" s="10">
        <f t="shared" si="1"/>
        <v>4344.4336000000003</v>
      </c>
      <c r="L22" s="2" t="s">
        <v>82</v>
      </c>
    </row>
    <row r="23" spans="1:12" x14ac:dyDescent="0.2">
      <c r="A23" s="4">
        <v>46160</v>
      </c>
      <c r="B23" s="5">
        <v>1</v>
      </c>
      <c r="C23" s="17">
        <v>562</v>
      </c>
      <c r="D23" s="9" t="s">
        <v>28</v>
      </c>
      <c r="E23" s="8" t="s">
        <v>16</v>
      </c>
      <c r="F23" s="9" t="s">
        <v>25</v>
      </c>
      <c r="G23" s="10">
        <f t="shared" si="0"/>
        <v>114158.38399999999</v>
      </c>
      <c r="H23" s="10">
        <v>0</v>
      </c>
      <c r="I23" s="10">
        <v>98412.4</v>
      </c>
      <c r="J23" s="7">
        <v>16</v>
      </c>
      <c r="K23" s="10">
        <f t="shared" si="1"/>
        <v>15745.983999999999</v>
      </c>
    </row>
    <row r="24" spans="1:12" x14ac:dyDescent="0.2">
      <c r="A24" s="4">
        <v>46162</v>
      </c>
      <c r="B24" s="5">
        <v>1</v>
      </c>
      <c r="C24" s="18">
        <v>3665</v>
      </c>
      <c r="D24" s="9" t="s">
        <v>31</v>
      </c>
      <c r="E24" s="8" t="s">
        <v>14</v>
      </c>
      <c r="F24" s="9" t="s">
        <v>22</v>
      </c>
      <c r="G24" s="10">
        <f t="shared" si="0"/>
        <v>420477.29879999999</v>
      </c>
      <c r="H24" s="10">
        <v>0</v>
      </c>
      <c r="I24" s="10">
        <v>362480.43</v>
      </c>
      <c r="J24" s="7">
        <v>16</v>
      </c>
      <c r="K24" s="10">
        <f t="shared" si="1"/>
        <v>57996.868799999997</v>
      </c>
      <c r="L24" s="2" t="s">
        <v>82</v>
      </c>
    </row>
    <row r="25" spans="1:12" x14ac:dyDescent="0.2">
      <c r="A25" s="4">
        <v>46164</v>
      </c>
      <c r="B25" s="5">
        <v>1</v>
      </c>
      <c r="C25" s="16">
        <v>6016</v>
      </c>
      <c r="D25" s="6">
        <v>6016</v>
      </c>
      <c r="E25" s="8" t="s">
        <v>18</v>
      </c>
      <c r="F25" s="9" t="s">
        <v>27</v>
      </c>
      <c r="G25" s="10">
        <f t="shared" si="0"/>
        <v>14257.096000000001</v>
      </c>
      <c r="H25" s="10">
        <v>0</v>
      </c>
      <c r="I25" s="10">
        <v>12290.6</v>
      </c>
      <c r="J25" s="7">
        <v>16</v>
      </c>
      <c r="K25" s="10">
        <f t="shared" si="1"/>
        <v>1966.4960000000001</v>
      </c>
      <c r="L25" s="2" t="s">
        <v>82</v>
      </c>
    </row>
    <row r="26" spans="1:12" x14ac:dyDescent="0.2">
      <c r="A26" s="4">
        <v>46165</v>
      </c>
      <c r="B26" s="5">
        <v>1</v>
      </c>
      <c r="C26" s="16">
        <v>20133</v>
      </c>
      <c r="D26" s="9" t="s">
        <v>60</v>
      </c>
      <c r="E26" s="8" t="s">
        <v>48</v>
      </c>
      <c r="F26" s="9" t="s">
        <v>36</v>
      </c>
      <c r="G26" s="10">
        <f t="shared" si="0"/>
        <v>10702.936399999999</v>
      </c>
      <c r="H26" s="10">
        <v>7421.83</v>
      </c>
      <c r="I26" s="10">
        <v>2828.54</v>
      </c>
      <c r="J26" s="7">
        <v>16</v>
      </c>
      <c r="K26" s="10">
        <f t="shared" si="1"/>
        <v>452.56639999999999</v>
      </c>
    </row>
    <row r="27" spans="1:12" x14ac:dyDescent="0.2">
      <c r="A27" s="4">
        <v>46167</v>
      </c>
      <c r="B27" s="5">
        <v>1</v>
      </c>
      <c r="C27" s="16">
        <v>51645</v>
      </c>
      <c r="D27" s="9" t="s">
        <v>61</v>
      </c>
      <c r="E27" s="8" t="s">
        <v>49</v>
      </c>
      <c r="F27" s="9" t="s">
        <v>37</v>
      </c>
      <c r="G27" s="10">
        <f t="shared" si="0"/>
        <v>17030.493599999998</v>
      </c>
      <c r="H27" s="10">
        <v>0</v>
      </c>
      <c r="I27" s="10">
        <v>14681.46</v>
      </c>
      <c r="J27" s="7">
        <v>16</v>
      </c>
      <c r="K27" s="10">
        <f t="shared" si="1"/>
        <v>2349.0335999999998</v>
      </c>
    </row>
    <row r="28" spans="1:12" x14ac:dyDescent="0.2">
      <c r="A28" s="4">
        <v>46167</v>
      </c>
      <c r="B28" s="5">
        <v>1</v>
      </c>
      <c r="C28" s="21">
        <v>1</v>
      </c>
      <c r="D28" s="9" t="s">
        <v>72</v>
      </c>
      <c r="E28" s="8" t="s">
        <v>73</v>
      </c>
      <c r="F28" s="9" t="s">
        <v>74</v>
      </c>
      <c r="G28" s="10">
        <f t="shared" si="0"/>
        <v>274654.19759999996</v>
      </c>
      <c r="H28" s="10">
        <v>0</v>
      </c>
      <c r="I28" s="10">
        <v>236770.86</v>
      </c>
      <c r="J28" s="7">
        <v>16</v>
      </c>
      <c r="K28" s="10">
        <f t="shared" si="1"/>
        <v>37883.337599999999</v>
      </c>
    </row>
    <row r="29" spans="1:12" x14ac:dyDescent="0.2">
      <c r="A29" s="4">
        <v>46168</v>
      </c>
      <c r="B29" s="5">
        <v>1</v>
      </c>
      <c r="C29" s="18">
        <v>158</v>
      </c>
      <c r="D29" s="9" t="s">
        <v>77</v>
      </c>
      <c r="E29" s="8" t="s">
        <v>75</v>
      </c>
      <c r="F29" s="9" t="s">
        <v>76</v>
      </c>
      <c r="G29" s="10">
        <f t="shared" si="0"/>
        <v>195273.878</v>
      </c>
      <c r="H29" s="10">
        <v>0</v>
      </c>
      <c r="I29" s="10">
        <v>168339.55</v>
      </c>
      <c r="J29" s="7">
        <v>16</v>
      </c>
      <c r="K29" s="10">
        <f t="shared" si="1"/>
        <v>26934.327999999998</v>
      </c>
      <c r="L29" s="2" t="s">
        <v>84</v>
      </c>
    </row>
    <row r="30" spans="1:12" x14ac:dyDescent="0.2">
      <c r="A30" s="4">
        <v>46168</v>
      </c>
      <c r="B30" s="5">
        <v>1</v>
      </c>
      <c r="C30" s="18">
        <v>446</v>
      </c>
      <c r="D30" s="9" t="s">
        <v>29</v>
      </c>
      <c r="E30" s="8" t="s">
        <v>12</v>
      </c>
      <c r="F30" s="9" t="s">
        <v>20</v>
      </c>
      <c r="G30" s="10">
        <f t="shared" si="0"/>
        <v>65092.031199999998</v>
      </c>
      <c r="H30" s="10"/>
      <c r="I30" s="10">
        <v>56113.82</v>
      </c>
      <c r="J30" s="7">
        <v>16</v>
      </c>
      <c r="K30" s="10">
        <f t="shared" si="1"/>
        <v>8978.2111999999997</v>
      </c>
      <c r="L30" s="2" t="s">
        <v>82</v>
      </c>
    </row>
    <row r="31" spans="1:12" x14ac:dyDescent="0.2">
      <c r="A31" s="4">
        <v>46168</v>
      </c>
      <c r="B31" s="5">
        <v>1</v>
      </c>
      <c r="C31" s="19">
        <v>331</v>
      </c>
      <c r="D31" s="11">
        <v>446</v>
      </c>
      <c r="E31" s="8" t="s">
        <v>12</v>
      </c>
      <c r="F31" s="9" t="s">
        <v>20</v>
      </c>
      <c r="G31" s="10">
        <f t="shared" si="0"/>
        <v>-4283.0796</v>
      </c>
      <c r="H31" s="10">
        <v>0</v>
      </c>
      <c r="I31" s="10">
        <v>-3692.31</v>
      </c>
      <c r="J31" s="7">
        <v>16</v>
      </c>
      <c r="K31" s="10">
        <f t="shared" si="1"/>
        <v>-590.76959999999997</v>
      </c>
      <c r="L31" s="2" t="s">
        <v>82</v>
      </c>
    </row>
    <row r="32" spans="1:12" x14ac:dyDescent="0.2">
      <c r="A32" s="4">
        <v>46168</v>
      </c>
      <c r="B32" s="5">
        <v>1</v>
      </c>
      <c r="C32" s="16">
        <v>54889</v>
      </c>
      <c r="D32" s="9" t="s">
        <v>61</v>
      </c>
      <c r="E32" s="8" t="s">
        <v>49</v>
      </c>
      <c r="F32" s="9" t="s">
        <v>37</v>
      </c>
      <c r="G32" s="10">
        <f t="shared" si="0"/>
        <v>9904.5324000000001</v>
      </c>
      <c r="H32" s="10">
        <v>0</v>
      </c>
      <c r="I32" s="10">
        <v>8538.39</v>
      </c>
      <c r="J32" s="7">
        <v>16</v>
      </c>
      <c r="K32" s="10">
        <f t="shared" si="1"/>
        <v>1366.1424</v>
      </c>
    </row>
    <row r="33" spans="1:12" x14ac:dyDescent="0.2">
      <c r="A33" s="4">
        <v>46169</v>
      </c>
      <c r="B33" s="5">
        <v>1</v>
      </c>
      <c r="C33" s="16">
        <v>6024</v>
      </c>
      <c r="D33" s="6">
        <v>6024</v>
      </c>
      <c r="E33" s="8" t="s">
        <v>18</v>
      </c>
      <c r="F33" s="9" t="s">
        <v>27</v>
      </c>
      <c r="G33" s="10">
        <f t="shared" si="0"/>
        <v>16055.153999999999</v>
      </c>
      <c r="H33" s="10">
        <v>0</v>
      </c>
      <c r="I33" s="10">
        <v>13840.65</v>
      </c>
      <c r="J33" s="7">
        <v>16</v>
      </c>
      <c r="K33" s="10">
        <f t="shared" si="1"/>
        <v>2214.5039999999999</v>
      </c>
      <c r="L33" s="2" t="s">
        <v>82</v>
      </c>
    </row>
    <row r="34" spans="1:12" x14ac:dyDescent="0.2">
      <c r="A34" s="4">
        <v>46169</v>
      </c>
      <c r="B34" s="5">
        <v>1</v>
      </c>
      <c r="C34" s="18">
        <v>2284</v>
      </c>
      <c r="D34" s="11">
        <v>2284</v>
      </c>
      <c r="E34" s="8" t="s">
        <v>11</v>
      </c>
      <c r="F34" s="9" t="s">
        <v>19</v>
      </c>
      <c r="G34" s="10">
        <f t="shared" si="0"/>
        <v>280300.08</v>
      </c>
      <c r="H34" s="10">
        <v>0</v>
      </c>
      <c r="I34" s="10">
        <v>241638</v>
      </c>
      <c r="J34" s="7">
        <v>16</v>
      </c>
      <c r="K34" s="10">
        <f t="shared" si="1"/>
        <v>38662.080000000002</v>
      </c>
      <c r="L34" s="2" t="s">
        <v>84</v>
      </c>
    </row>
    <row r="35" spans="1:12" x14ac:dyDescent="0.2">
      <c r="A35" s="4">
        <v>46169</v>
      </c>
      <c r="B35" s="5">
        <v>1</v>
      </c>
      <c r="C35" s="16">
        <v>20315</v>
      </c>
      <c r="D35" s="9" t="s">
        <v>60</v>
      </c>
      <c r="E35" s="8" t="s">
        <v>48</v>
      </c>
      <c r="F35" s="9" t="s">
        <v>36</v>
      </c>
      <c r="G35" s="10">
        <f t="shared" si="0"/>
        <v>4957.5731999999998</v>
      </c>
      <c r="H35" s="10">
        <v>3229.44</v>
      </c>
      <c r="I35" s="10">
        <v>1489.77</v>
      </c>
      <c r="J35" s="7">
        <v>16</v>
      </c>
      <c r="K35" s="10">
        <f t="shared" si="1"/>
        <v>238.36320000000001</v>
      </c>
    </row>
    <row r="36" spans="1:12" x14ac:dyDescent="0.2">
      <c r="A36" s="4">
        <v>46171</v>
      </c>
      <c r="B36" s="5">
        <v>1</v>
      </c>
      <c r="C36" s="16">
        <v>89388</v>
      </c>
      <c r="D36" s="9" t="s">
        <v>65</v>
      </c>
      <c r="E36" s="8" t="s">
        <v>53</v>
      </c>
      <c r="F36" s="9" t="s">
        <v>41</v>
      </c>
      <c r="G36" s="10">
        <f t="shared" si="0"/>
        <v>13185.1052</v>
      </c>
      <c r="H36" s="10">
        <v>0</v>
      </c>
      <c r="I36" s="10">
        <v>11366.47</v>
      </c>
      <c r="J36" s="7">
        <v>16</v>
      </c>
      <c r="K36" s="10">
        <f t="shared" si="1"/>
        <v>1818.6351999999999</v>
      </c>
    </row>
    <row r="37" spans="1:12" x14ac:dyDescent="0.2">
      <c r="A37" s="4">
        <v>46172</v>
      </c>
      <c r="B37" s="5">
        <v>1</v>
      </c>
      <c r="C37" s="16">
        <v>83903</v>
      </c>
      <c r="D37" s="9" t="s">
        <v>62</v>
      </c>
      <c r="E37" s="8" t="s">
        <v>50</v>
      </c>
      <c r="F37" s="9" t="s">
        <v>38</v>
      </c>
      <c r="G37" s="10">
        <f t="shared" si="0"/>
        <v>14082.2492</v>
      </c>
      <c r="H37" s="10">
        <v>0</v>
      </c>
      <c r="I37" s="10">
        <v>12139.87</v>
      </c>
      <c r="J37" s="7">
        <v>16</v>
      </c>
      <c r="K37" s="10">
        <f t="shared" si="1"/>
        <v>1942.3792000000001</v>
      </c>
    </row>
    <row r="38" spans="1:12" x14ac:dyDescent="0.2">
      <c r="A38" s="4">
        <v>46172</v>
      </c>
      <c r="B38" s="5">
        <v>1</v>
      </c>
      <c r="C38" s="16">
        <v>10692</v>
      </c>
      <c r="D38" s="9" t="s">
        <v>64</v>
      </c>
      <c r="E38" s="8" t="s">
        <v>52</v>
      </c>
      <c r="F38" s="9" t="s">
        <v>40</v>
      </c>
      <c r="G38" s="10">
        <f t="shared" si="0"/>
        <v>59877.9588</v>
      </c>
      <c r="H38" s="10">
        <v>0</v>
      </c>
      <c r="I38" s="10">
        <v>51618.93</v>
      </c>
      <c r="J38" s="7">
        <v>16</v>
      </c>
      <c r="K38" s="10">
        <f t="shared" si="1"/>
        <v>8259.0288</v>
      </c>
    </row>
    <row r="39" spans="1:12" x14ac:dyDescent="0.2">
      <c r="A39" s="4">
        <v>46173</v>
      </c>
      <c r="B39" s="5">
        <v>1</v>
      </c>
      <c r="C39" s="16">
        <v>55689</v>
      </c>
      <c r="D39" s="9" t="s">
        <v>61</v>
      </c>
      <c r="E39" s="8" t="s">
        <v>49</v>
      </c>
      <c r="F39" s="9" t="s">
        <v>37</v>
      </c>
      <c r="G39" s="10">
        <f t="shared" si="0"/>
        <v>13306.0816</v>
      </c>
      <c r="H39" s="10">
        <v>0</v>
      </c>
      <c r="I39" s="10">
        <v>11470.76</v>
      </c>
      <c r="J39" s="7">
        <v>16</v>
      </c>
      <c r="K39" s="10">
        <f t="shared" si="1"/>
        <v>1835.3216</v>
      </c>
    </row>
    <row r="40" spans="1:12" x14ac:dyDescent="0.2">
      <c r="A40" s="4">
        <v>46168</v>
      </c>
      <c r="B40" s="5">
        <v>1</v>
      </c>
      <c r="C40" s="16">
        <v>7</v>
      </c>
      <c r="D40" s="9" t="s">
        <v>80</v>
      </c>
      <c r="E40" s="8" t="s">
        <v>78</v>
      </c>
      <c r="F40" s="9" t="s">
        <v>79</v>
      </c>
      <c r="G40" s="10">
        <f>H40+I40+K40</f>
        <v>96050.32</v>
      </c>
      <c r="H40" s="10">
        <v>0</v>
      </c>
      <c r="I40" s="10">
        <v>82802</v>
      </c>
      <c r="J40" s="7">
        <v>16</v>
      </c>
      <c r="K40" s="10">
        <f>(I40*J40)/100</f>
        <v>13248.32</v>
      </c>
    </row>
    <row r="41" spans="1:12" x14ac:dyDescent="0.2">
      <c r="A41" s="4">
        <v>46171</v>
      </c>
      <c r="B41" s="5">
        <v>1</v>
      </c>
      <c r="C41" s="16">
        <v>8</v>
      </c>
      <c r="D41" s="9" t="s">
        <v>81</v>
      </c>
      <c r="E41" s="8" t="s">
        <v>78</v>
      </c>
      <c r="F41" s="9" t="s">
        <v>79</v>
      </c>
      <c r="G41" s="10">
        <f>H41+I41+K41</f>
        <v>383199.28360000002</v>
      </c>
      <c r="H41" s="10">
        <v>0</v>
      </c>
      <c r="I41" s="10">
        <v>330344.21000000002</v>
      </c>
      <c r="J41" s="7">
        <v>16</v>
      </c>
      <c r="K41" s="10">
        <f>(I41*J41)/100</f>
        <v>52855.073600000003</v>
      </c>
    </row>
    <row r="42" spans="1:12" x14ac:dyDescent="0.2">
      <c r="A42" s="4">
        <v>46170</v>
      </c>
      <c r="B42" s="5">
        <v>1</v>
      </c>
      <c r="C42" s="18">
        <v>3718</v>
      </c>
      <c r="D42" s="9" t="s">
        <v>31</v>
      </c>
      <c r="E42" s="8" t="s">
        <v>14</v>
      </c>
      <c r="F42" s="9" t="s">
        <v>22</v>
      </c>
      <c r="G42" s="10">
        <f>H42+I42+K42</f>
        <v>27226.789199999999</v>
      </c>
      <c r="H42" s="10">
        <v>0</v>
      </c>
      <c r="I42" s="10">
        <v>23471.37</v>
      </c>
      <c r="J42" s="7">
        <v>16</v>
      </c>
      <c r="K42" s="10">
        <f>(I42*J42)/100</f>
        <v>3755.4191999999998</v>
      </c>
      <c r="L42" s="2" t="s">
        <v>82</v>
      </c>
    </row>
  </sheetData>
  <autoFilter ref="A1:L42" xr:uid="{9C6BECCA-9697-4F3F-BC68-BDA0AF75FBA3}"/>
  <sortState xmlns:xlrd2="http://schemas.microsoft.com/office/spreadsheetml/2017/richdata2" ref="A2:K39">
    <sortCondition ref="A2:A39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2026-04-27T12:39:49Z</dcterms:created>
  <dcterms:modified xsi:type="dcterms:W3CDTF">2026-06-20T16:24:58Z</dcterms:modified>
</cp:coreProperties>
</file>