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 Rodriguez\Desktop\Software_KD\Libros fiscales\King Dirver, C.A\IVA MAYO 2026\"/>
    </mc:Choice>
  </mc:AlternateContent>
  <xr:revisionPtr revIDLastSave="0" documentId="13_ncr:1_{6436EC4B-F2DD-402E-AB6B-6B9C822F0A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" i="2" l="1"/>
  <c r="F9" i="2" s="1"/>
  <c r="J8" i="2"/>
  <c r="F8" i="2"/>
  <c r="J7" i="2"/>
  <c r="F7" i="2"/>
  <c r="J6" i="2"/>
  <c r="F6" i="2"/>
  <c r="J5" i="2"/>
  <c r="F5" i="2"/>
  <c r="J4" i="2"/>
  <c r="F4" i="2"/>
  <c r="J3" i="2"/>
  <c r="F3" i="2"/>
  <c r="J2" i="2"/>
  <c r="F2" i="2" s="1"/>
</calcChain>
</file>

<file path=xl/sharedStrings.xml><?xml version="1.0" encoding="utf-8"?>
<sst xmlns="http://schemas.openxmlformats.org/spreadsheetml/2006/main" count="34" uniqueCount="28">
  <si>
    <t>Fecha de Factura</t>
  </si>
  <si>
    <t>Nombre y Apellido o Razón Social</t>
  </si>
  <si>
    <t>R.I.F.</t>
  </si>
  <si>
    <t>Número de Factura</t>
  </si>
  <si>
    <t>Num. Control de Factura</t>
  </si>
  <si>
    <t>Total Ventas Incluyendo el IVA</t>
  </si>
  <si>
    <t>Ventas Exentas</t>
  </si>
  <si>
    <t>Base Imponible</t>
  </si>
  <si>
    <t>% Alícuota</t>
  </si>
  <si>
    <t>Débito Fiscal</t>
  </si>
  <si>
    <t>EDUARDO DOS SANTOS</t>
  </si>
  <si>
    <t>V16115512</t>
  </si>
  <si>
    <t>00-0001</t>
  </si>
  <si>
    <t>00-0002</t>
  </si>
  <si>
    <t>00-0003</t>
  </si>
  <si>
    <t>00-0004</t>
  </si>
  <si>
    <t>00-0005</t>
  </si>
  <si>
    <t>00-0006</t>
  </si>
  <si>
    <t>00-0007</t>
  </si>
  <si>
    <t>00-0008</t>
  </si>
  <si>
    <t>HERNAN PEDREAÑEZ</t>
  </si>
  <si>
    <t>V12728824</t>
  </si>
  <si>
    <t>V28023800</t>
  </si>
  <si>
    <t>FANCISCO MADRIZ</t>
  </si>
  <si>
    <t>JOSE BRAVO</t>
  </si>
  <si>
    <t>V9376138</t>
  </si>
  <si>
    <t>JONATHAN APONTE</t>
  </si>
  <si>
    <t>V22764031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</si>
</sst>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0000"/>
    <numFmt numFmtId="166" formatCode="00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6A44-FB61-4C94-AC7A-1B1FBEBC36DE}">
  <dimension ref="A1:J9"/>
  <sheetViews>
    <sheetView tabSelected="1" zoomScale="77" zoomScaleNormal="77" workbookViewId="0">
      <selection activeCell="G2" sqref="G2:G9"/>
    </sheetView>
  </sheetViews>
  <sheetFormatPr baseColWidth="10" defaultColWidth="9.140625" defaultRowHeight="11.25" x14ac:dyDescent="0.2"/>
  <cols>
    <col min="1" max="1" width="12" style="1" customWidth="1"/>
    <col min="2" max="2" width="35" style="1" customWidth="1"/>
    <col min="3" max="3" width="15" style="1" customWidth="1"/>
    <col min="4" max="5" width="12" style="1" customWidth="1"/>
    <col min="6" max="6" width="18" style="1" customWidth="1"/>
    <col min="7" max="8" width="15" style="1" customWidth="1"/>
    <col min="9" max="9" width="10" style="1" customWidth="1"/>
    <col min="10" max="10" width="15" style="1" customWidth="1"/>
    <col min="11" max="16384" width="9.140625" style="1"/>
  </cols>
  <sheetData>
    <row r="1" spans="1:10" ht="22.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6" customFormat="1" x14ac:dyDescent="0.2">
      <c r="A2" s="3">
        <v>46173</v>
      </c>
      <c r="B2" s="4" t="s">
        <v>20</v>
      </c>
      <c r="C2" s="4" t="s">
        <v>21</v>
      </c>
      <c r="D2" s="9">
        <v>1</v>
      </c>
      <c r="E2" s="7" t="s">
        <v>12</v>
      </c>
      <c r="F2" s="5">
        <f>G2+H2+J2</f>
        <v>335891</v>
      </c>
      <c r="G2" s="5">
        <v>335891</v>
      </c>
      <c r="H2" s="5">
        <v>0</v>
      </c>
      <c r="I2" s="8">
        <v>16</v>
      </c>
      <c r="J2" s="5">
        <f>H2*(I2/100)</f>
        <v>0</v>
      </c>
    </row>
    <row r="3" spans="1:10" s="6" customFormat="1" x14ac:dyDescent="0.2">
      <c r="A3" s="3">
        <v>46173</v>
      </c>
      <c r="B3" s="4" t="s">
        <v>20</v>
      </c>
      <c r="C3" s="4" t="s">
        <v>21</v>
      </c>
      <c r="D3" s="9">
        <v>2</v>
      </c>
      <c r="E3" s="7" t="s">
        <v>13</v>
      </c>
      <c r="F3" s="5">
        <f t="shared" ref="F3:F8" si="0">G3+H3+J3</f>
        <v>298824</v>
      </c>
      <c r="G3" s="5">
        <v>298824</v>
      </c>
      <c r="H3" s="5">
        <v>0</v>
      </c>
      <c r="I3" s="8">
        <v>16</v>
      </c>
      <c r="J3" s="5">
        <f t="shared" ref="J3:J8" si="1">H3*(I3/100)</f>
        <v>0</v>
      </c>
    </row>
    <row r="4" spans="1:10" s="6" customFormat="1" x14ac:dyDescent="0.2">
      <c r="A4" s="3">
        <v>46173</v>
      </c>
      <c r="B4" s="4" t="s">
        <v>23</v>
      </c>
      <c r="C4" s="4" t="s">
        <v>22</v>
      </c>
      <c r="D4" s="9">
        <v>3</v>
      </c>
      <c r="E4" s="7" t="s">
        <v>14</v>
      </c>
      <c r="F4" s="5">
        <f t="shared" si="0"/>
        <v>354256</v>
      </c>
      <c r="G4" s="5">
        <v>354256</v>
      </c>
      <c r="H4" s="5">
        <v>0</v>
      </c>
      <c r="I4" s="8">
        <v>16</v>
      </c>
      <c r="J4" s="5">
        <f t="shared" si="1"/>
        <v>0</v>
      </c>
    </row>
    <row r="5" spans="1:10" s="6" customFormat="1" x14ac:dyDescent="0.2">
      <c r="A5" s="3">
        <v>46173</v>
      </c>
      <c r="B5" s="4" t="s">
        <v>23</v>
      </c>
      <c r="C5" s="4" t="s">
        <v>22</v>
      </c>
      <c r="D5" s="9">
        <v>4</v>
      </c>
      <c r="E5" s="7" t="s">
        <v>15</v>
      </c>
      <c r="F5" s="5">
        <f t="shared" si="0"/>
        <v>241064</v>
      </c>
      <c r="G5" s="5">
        <v>241064</v>
      </c>
      <c r="H5" s="5">
        <v>0</v>
      </c>
      <c r="I5" s="8">
        <v>16</v>
      </c>
      <c r="J5" s="5">
        <f t="shared" si="1"/>
        <v>0</v>
      </c>
    </row>
    <row r="6" spans="1:10" s="6" customFormat="1" x14ac:dyDescent="0.2">
      <c r="A6" s="3">
        <v>46173</v>
      </c>
      <c r="B6" s="4" t="s">
        <v>10</v>
      </c>
      <c r="C6" s="4" t="s">
        <v>11</v>
      </c>
      <c r="D6" s="9">
        <v>5</v>
      </c>
      <c r="E6" s="7" t="s">
        <v>16</v>
      </c>
      <c r="F6" s="5">
        <f t="shared" si="0"/>
        <v>327644.09999999998</v>
      </c>
      <c r="G6" s="5">
        <v>327644.09999999998</v>
      </c>
      <c r="H6" s="5">
        <v>0</v>
      </c>
      <c r="I6" s="8">
        <v>16</v>
      </c>
      <c r="J6" s="5">
        <f t="shared" si="1"/>
        <v>0</v>
      </c>
    </row>
    <row r="7" spans="1:10" s="6" customFormat="1" x14ac:dyDescent="0.2">
      <c r="A7" s="3">
        <v>46173</v>
      </c>
      <c r="B7" s="4" t="s">
        <v>24</v>
      </c>
      <c r="C7" s="4" t="s">
        <v>25</v>
      </c>
      <c r="D7" s="9">
        <v>6</v>
      </c>
      <c r="E7" s="7" t="s">
        <v>17</v>
      </c>
      <c r="F7" s="5">
        <f t="shared" si="0"/>
        <v>520480.1</v>
      </c>
      <c r="G7" s="5">
        <v>520480.1</v>
      </c>
      <c r="H7" s="5">
        <v>0</v>
      </c>
      <c r="I7" s="8">
        <v>16</v>
      </c>
      <c r="J7" s="5">
        <f t="shared" si="1"/>
        <v>0</v>
      </c>
    </row>
    <row r="8" spans="1:10" s="6" customFormat="1" x14ac:dyDescent="0.2">
      <c r="A8" s="3">
        <v>46173</v>
      </c>
      <c r="B8" s="4" t="s">
        <v>24</v>
      </c>
      <c r="C8" s="4" t="s">
        <v>25</v>
      </c>
      <c r="D8" s="9">
        <v>7</v>
      </c>
      <c r="E8" s="7" t="s">
        <v>18</v>
      </c>
      <c r="F8" s="5">
        <f t="shared" si="0"/>
        <v>206430.21</v>
      </c>
      <c r="G8" s="5">
        <v>206430.21</v>
      </c>
      <c r="H8" s="5">
        <v>0</v>
      </c>
      <c r="I8" s="8">
        <v>16</v>
      </c>
      <c r="J8" s="5">
        <f t="shared" si="1"/>
        <v>0</v>
      </c>
    </row>
    <row r="9" spans="1:10" x14ac:dyDescent="0.2">
      <c r="A9" s="3">
        <v>46173</v>
      </c>
      <c r="B9" s="4" t="s">
        <v>26</v>
      </c>
      <c r="C9" s="4" t="s">
        <v>27</v>
      </c>
      <c r="D9" s="9">
        <v>8</v>
      </c>
      <c r="E9" s="7" t="s">
        <v>19</v>
      </c>
      <c r="F9" s="5">
        <f t="shared" ref="F9" si="2">G9+H9+J9</f>
        <v>676456.53</v>
      </c>
      <c r="G9" s="5">
        <v>676456.53</v>
      </c>
      <c r="H9" s="5">
        <v>0</v>
      </c>
      <c r="I9" s="8">
        <v>16</v>
      </c>
      <c r="J9" s="5">
        <f t="shared" ref="J9" si="3">H9*(I9/100)</f>
        <v>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Rodriguez Colmenares</cp:lastModifiedBy>
  <dcterms:created xsi:type="dcterms:W3CDTF">2026-04-30T13:39:10Z</dcterms:created>
  <dcterms:modified xsi:type="dcterms:W3CDTF">2026-06-16T02:41:24Z</dcterms:modified>
</cp:coreProperties>
</file>