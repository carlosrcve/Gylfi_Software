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s fiscales\King Dirver, C.A\IVA MAYO 2026\"/>
    </mc:Choice>
  </mc:AlternateContent>
  <xr:revisionPtr revIDLastSave="0" documentId="13_ncr:1_{3064C5C6-074B-4D6E-A86B-D13C3356D1B6}" xr6:coauthVersionLast="47" xr6:coauthVersionMax="47" xr10:uidLastSave="{00000000-0000-0000-0000-000000000000}"/>
  <bookViews>
    <workbookView xWindow="-120" yWindow="-120" windowWidth="20730" windowHeight="11160" activeTab="1" xr2:uid="{B811DCE1-C6D5-4BE1-A725-50EB07801725}"/>
  </bookViews>
  <sheets>
    <sheet name="Data" sheetId="5" r:id="rId1"/>
    <sheet name="Libro de Compr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79" i="2" l="1"/>
  <c r="R67" i="2"/>
  <c r="K18" i="2"/>
  <c r="L18" i="2"/>
  <c r="M18" i="2" s="1"/>
  <c r="K19" i="2"/>
  <c r="L19" i="2"/>
  <c r="M19" i="2" s="1"/>
  <c r="K20" i="2"/>
  <c r="L20" i="2"/>
  <c r="M20" i="2" s="1"/>
  <c r="K21" i="2"/>
  <c r="L21" i="2"/>
  <c r="K22" i="2"/>
  <c r="L22" i="2"/>
  <c r="M22" i="2" s="1"/>
  <c r="K23" i="2"/>
  <c r="L23" i="2"/>
  <c r="M23" i="2" s="1"/>
  <c r="K24" i="2"/>
  <c r="L24" i="2"/>
  <c r="M24" i="2" s="1"/>
  <c r="K25" i="2"/>
  <c r="L25" i="2"/>
  <c r="K26" i="2"/>
  <c r="L26" i="2"/>
  <c r="M26" i="2" s="1"/>
  <c r="K27" i="2"/>
  <c r="L27" i="2"/>
  <c r="M27" i="2" s="1"/>
  <c r="K28" i="2"/>
  <c r="L28" i="2"/>
  <c r="M28" i="2" s="1"/>
  <c r="K29" i="2"/>
  <c r="L29" i="2"/>
  <c r="K30" i="2"/>
  <c r="L30" i="2"/>
  <c r="M30" i="2" s="1"/>
  <c r="K31" i="2"/>
  <c r="L31" i="2"/>
  <c r="M31" i="2" s="1"/>
  <c r="K32" i="2"/>
  <c r="L32" i="2"/>
  <c r="M32" i="2" s="1"/>
  <c r="K33" i="2"/>
  <c r="L33" i="2"/>
  <c r="K34" i="2"/>
  <c r="L34" i="2"/>
  <c r="M34" i="2" s="1"/>
  <c r="K35" i="2"/>
  <c r="L35" i="2"/>
  <c r="M35" i="2" s="1"/>
  <c r="K36" i="2"/>
  <c r="L36" i="2"/>
  <c r="M36" i="2" s="1"/>
  <c r="K37" i="2"/>
  <c r="L37" i="2"/>
  <c r="K38" i="2"/>
  <c r="L38" i="2"/>
  <c r="M38" i="2" s="1"/>
  <c r="K39" i="2"/>
  <c r="L39" i="2"/>
  <c r="M39" i="2" s="1"/>
  <c r="K40" i="2"/>
  <c r="L40" i="2"/>
  <c r="M40" i="2" s="1"/>
  <c r="K41" i="2"/>
  <c r="L41" i="2"/>
  <c r="K42" i="2"/>
  <c r="L42" i="2"/>
  <c r="M42" i="2" s="1"/>
  <c r="K43" i="2"/>
  <c r="L43" i="2"/>
  <c r="M43" i="2" s="1"/>
  <c r="K44" i="2"/>
  <c r="L44" i="2"/>
  <c r="M44" i="2" s="1"/>
  <c r="K45" i="2"/>
  <c r="L45" i="2"/>
  <c r="K46" i="2"/>
  <c r="L46" i="2"/>
  <c r="M46" i="2" s="1"/>
  <c r="K47" i="2"/>
  <c r="L47" i="2"/>
  <c r="M47" i="2" s="1"/>
  <c r="K48" i="2"/>
  <c r="L48" i="2"/>
  <c r="M48" i="2" s="1"/>
  <c r="K49" i="2"/>
  <c r="L49" i="2"/>
  <c r="K50" i="2"/>
  <c r="L50" i="2"/>
  <c r="M50" i="2" s="1"/>
  <c r="K51" i="2"/>
  <c r="L51" i="2"/>
  <c r="M51" i="2" s="1"/>
  <c r="K52" i="2"/>
  <c r="L52" i="2"/>
  <c r="M52" i="2" s="1"/>
  <c r="K53" i="2"/>
  <c r="L53" i="2"/>
  <c r="K54" i="2"/>
  <c r="L54" i="2"/>
  <c r="M54" i="2" s="1"/>
  <c r="K55" i="2"/>
  <c r="L55" i="2"/>
  <c r="M55" i="2" s="1"/>
  <c r="K56" i="2"/>
  <c r="L56" i="2"/>
  <c r="M56" i="2" s="1"/>
  <c r="K57" i="2"/>
  <c r="L57" i="2"/>
  <c r="E18" i="2"/>
  <c r="F18" i="2"/>
  <c r="G18" i="2"/>
  <c r="H18" i="2"/>
  <c r="I18" i="2"/>
  <c r="E19" i="2"/>
  <c r="F19" i="2"/>
  <c r="G19" i="2"/>
  <c r="H19" i="2"/>
  <c r="I19" i="2"/>
  <c r="E20" i="2"/>
  <c r="F20" i="2"/>
  <c r="G20" i="2"/>
  <c r="H20" i="2"/>
  <c r="I20" i="2"/>
  <c r="E21" i="2"/>
  <c r="F21" i="2"/>
  <c r="G21" i="2"/>
  <c r="H21" i="2"/>
  <c r="I21" i="2"/>
  <c r="E22" i="2"/>
  <c r="F22" i="2"/>
  <c r="G22" i="2"/>
  <c r="H22" i="2"/>
  <c r="I22" i="2"/>
  <c r="E23" i="2"/>
  <c r="F23" i="2"/>
  <c r="G23" i="2"/>
  <c r="H23" i="2"/>
  <c r="I23" i="2"/>
  <c r="E24" i="2"/>
  <c r="F24" i="2"/>
  <c r="G24" i="2"/>
  <c r="H24" i="2"/>
  <c r="I24" i="2"/>
  <c r="E25" i="2"/>
  <c r="F25" i="2"/>
  <c r="G25" i="2"/>
  <c r="H25" i="2"/>
  <c r="I25" i="2"/>
  <c r="E26" i="2"/>
  <c r="F26" i="2"/>
  <c r="G26" i="2"/>
  <c r="H26" i="2"/>
  <c r="I26" i="2"/>
  <c r="E27" i="2"/>
  <c r="F27" i="2"/>
  <c r="G27" i="2"/>
  <c r="H27" i="2"/>
  <c r="I27" i="2"/>
  <c r="E28" i="2"/>
  <c r="F28" i="2"/>
  <c r="G28" i="2"/>
  <c r="H28" i="2"/>
  <c r="I28" i="2"/>
  <c r="E29" i="2"/>
  <c r="F29" i="2"/>
  <c r="G29" i="2"/>
  <c r="H29" i="2"/>
  <c r="I29" i="2"/>
  <c r="E30" i="2"/>
  <c r="F30" i="2"/>
  <c r="G30" i="2"/>
  <c r="H30" i="2"/>
  <c r="I30" i="2"/>
  <c r="E31" i="2"/>
  <c r="F31" i="2"/>
  <c r="G31" i="2"/>
  <c r="H31" i="2"/>
  <c r="I31" i="2"/>
  <c r="E32" i="2"/>
  <c r="F32" i="2"/>
  <c r="G32" i="2"/>
  <c r="H32" i="2"/>
  <c r="I32" i="2"/>
  <c r="E33" i="2"/>
  <c r="F33" i="2"/>
  <c r="G33" i="2"/>
  <c r="H33" i="2"/>
  <c r="I33" i="2"/>
  <c r="E34" i="2"/>
  <c r="F34" i="2"/>
  <c r="G34" i="2"/>
  <c r="H34" i="2"/>
  <c r="I34" i="2"/>
  <c r="E35" i="2"/>
  <c r="F35" i="2"/>
  <c r="G35" i="2"/>
  <c r="H35" i="2"/>
  <c r="I35" i="2"/>
  <c r="E36" i="2"/>
  <c r="F36" i="2"/>
  <c r="G36" i="2"/>
  <c r="H36" i="2"/>
  <c r="I36" i="2"/>
  <c r="E37" i="2"/>
  <c r="F37" i="2"/>
  <c r="G37" i="2"/>
  <c r="H37" i="2"/>
  <c r="I37" i="2"/>
  <c r="E38" i="2"/>
  <c r="F38" i="2"/>
  <c r="G38" i="2"/>
  <c r="H38" i="2"/>
  <c r="I38" i="2"/>
  <c r="E39" i="2"/>
  <c r="F39" i="2"/>
  <c r="G39" i="2"/>
  <c r="H39" i="2"/>
  <c r="I39" i="2"/>
  <c r="E40" i="2"/>
  <c r="F40" i="2"/>
  <c r="G40" i="2"/>
  <c r="H40" i="2"/>
  <c r="I40" i="2"/>
  <c r="E41" i="2"/>
  <c r="F41" i="2"/>
  <c r="G41" i="2"/>
  <c r="H41" i="2"/>
  <c r="I41" i="2"/>
  <c r="E42" i="2"/>
  <c r="F42" i="2"/>
  <c r="G42" i="2"/>
  <c r="H42" i="2"/>
  <c r="I42" i="2"/>
  <c r="E43" i="2"/>
  <c r="F43" i="2"/>
  <c r="G43" i="2"/>
  <c r="H43" i="2"/>
  <c r="I43" i="2"/>
  <c r="E44" i="2"/>
  <c r="F44" i="2"/>
  <c r="G44" i="2"/>
  <c r="H44" i="2"/>
  <c r="I44" i="2"/>
  <c r="E45" i="2"/>
  <c r="F45" i="2"/>
  <c r="G45" i="2"/>
  <c r="H45" i="2"/>
  <c r="I45" i="2"/>
  <c r="E46" i="2"/>
  <c r="F46" i="2"/>
  <c r="G46" i="2"/>
  <c r="H46" i="2"/>
  <c r="I46" i="2"/>
  <c r="E47" i="2"/>
  <c r="F47" i="2"/>
  <c r="G47" i="2"/>
  <c r="H47" i="2"/>
  <c r="I47" i="2"/>
  <c r="E48" i="2"/>
  <c r="F48" i="2"/>
  <c r="G48" i="2"/>
  <c r="H48" i="2"/>
  <c r="I48" i="2"/>
  <c r="E49" i="2"/>
  <c r="F49" i="2"/>
  <c r="G49" i="2"/>
  <c r="H49" i="2"/>
  <c r="I49" i="2"/>
  <c r="E50" i="2"/>
  <c r="F50" i="2"/>
  <c r="G50" i="2"/>
  <c r="H50" i="2"/>
  <c r="I50" i="2"/>
  <c r="E51" i="2"/>
  <c r="F51" i="2"/>
  <c r="G51" i="2"/>
  <c r="H51" i="2"/>
  <c r="I51" i="2"/>
  <c r="E52" i="2"/>
  <c r="F52" i="2"/>
  <c r="G52" i="2"/>
  <c r="H52" i="2"/>
  <c r="I52" i="2"/>
  <c r="E53" i="2"/>
  <c r="F53" i="2"/>
  <c r="G53" i="2"/>
  <c r="H53" i="2"/>
  <c r="I53" i="2"/>
  <c r="E54" i="2"/>
  <c r="F54" i="2"/>
  <c r="G54" i="2"/>
  <c r="H54" i="2"/>
  <c r="I54" i="2"/>
  <c r="E55" i="2"/>
  <c r="F55" i="2"/>
  <c r="G55" i="2"/>
  <c r="H55" i="2"/>
  <c r="I55" i="2"/>
  <c r="E56" i="2"/>
  <c r="F56" i="2"/>
  <c r="G56" i="2"/>
  <c r="H56" i="2"/>
  <c r="I56" i="2"/>
  <c r="E57" i="2"/>
  <c r="F57" i="2"/>
  <c r="G57" i="2"/>
  <c r="H57" i="2"/>
  <c r="I5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2" i="5"/>
  <c r="N40" i="5"/>
  <c r="N41" i="5"/>
  <c r="N42" i="5"/>
  <c r="N28" i="5"/>
  <c r="N29" i="5"/>
  <c r="N30" i="5"/>
  <c r="N31" i="5"/>
  <c r="N33" i="5"/>
  <c r="G17" i="2"/>
  <c r="Q57" i="2"/>
  <c r="O57" i="2"/>
  <c r="Q56" i="2"/>
  <c r="O56" i="2"/>
  <c r="Q55" i="2"/>
  <c r="O55" i="2"/>
  <c r="Q54" i="2"/>
  <c r="O54" i="2"/>
  <c r="Q53" i="2"/>
  <c r="O53" i="2"/>
  <c r="O18" i="2"/>
  <c r="Q18" i="2"/>
  <c r="O19" i="2"/>
  <c r="Q19" i="2"/>
  <c r="O20" i="2"/>
  <c r="Q20" i="2"/>
  <c r="O21" i="2"/>
  <c r="Q21" i="2"/>
  <c r="O22" i="2"/>
  <c r="Q22" i="2"/>
  <c r="O23" i="2"/>
  <c r="Q23" i="2"/>
  <c r="O24" i="2"/>
  <c r="Q24" i="2"/>
  <c r="O25" i="2"/>
  <c r="Q25" i="2"/>
  <c r="O26" i="2"/>
  <c r="Q26" i="2"/>
  <c r="O27" i="2"/>
  <c r="Q27" i="2"/>
  <c r="O28" i="2"/>
  <c r="Q28" i="2"/>
  <c r="O29" i="2"/>
  <c r="Q29" i="2"/>
  <c r="O30" i="2"/>
  <c r="Q30" i="2"/>
  <c r="O31" i="2"/>
  <c r="Q31" i="2"/>
  <c r="O32" i="2"/>
  <c r="Q32" i="2"/>
  <c r="O33" i="2"/>
  <c r="Q33" i="2"/>
  <c r="O34" i="2"/>
  <c r="Q34" i="2"/>
  <c r="O35" i="2"/>
  <c r="Q35" i="2"/>
  <c r="O36" i="2"/>
  <c r="Q36" i="2"/>
  <c r="O37" i="2"/>
  <c r="Q37" i="2"/>
  <c r="O38" i="2"/>
  <c r="Q38" i="2"/>
  <c r="O39" i="2"/>
  <c r="Q39" i="2"/>
  <c r="O40" i="2"/>
  <c r="Q40" i="2"/>
  <c r="O41" i="2"/>
  <c r="Q41" i="2"/>
  <c r="O42" i="2"/>
  <c r="Q42" i="2"/>
  <c r="O43" i="2"/>
  <c r="Q43" i="2"/>
  <c r="O44" i="2"/>
  <c r="Q44" i="2"/>
  <c r="O45" i="2"/>
  <c r="Q45" i="2"/>
  <c r="O46" i="2"/>
  <c r="Q46" i="2"/>
  <c r="O47" i="2"/>
  <c r="Q47" i="2"/>
  <c r="O48" i="2"/>
  <c r="Q48" i="2"/>
  <c r="O49" i="2"/>
  <c r="Q49" i="2"/>
  <c r="O50" i="2"/>
  <c r="Q50" i="2"/>
  <c r="O51" i="2"/>
  <c r="Q51" i="2"/>
  <c r="O52" i="2"/>
  <c r="Q52" i="2"/>
  <c r="L17" i="2"/>
  <c r="K17" i="2"/>
  <c r="B17" i="2"/>
  <c r="C17" i="2"/>
  <c r="D17" i="2"/>
  <c r="E17" i="2"/>
  <c r="F17" i="2"/>
  <c r="H17" i="2"/>
  <c r="I17" i="2"/>
  <c r="A17" i="2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32" i="5"/>
  <c r="N34" i="5"/>
  <c r="N35" i="5"/>
  <c r="N36" i="5"/>
  <c r="N37" i="5"/>
  <c r="N38" i="5"/>
  <c r="N39" i="5"/>
  <c r="L58" i="2" l="1"/>
  <c r="R74" i="2" s="1"/>
  <c r="K58" i="2"/>
  <c r="R72" i="2" s="1"/>
  <c r="J56" i="2"/>
  <c r="J48" i="2"/>
  <c r="J40" i="2"/>
  <c r="J24" i="2"/>
  <c r="J54" i="2"/>
  <c r="J46" i="2"/>
  <c r="J38" i="2"/>
  <c r="J34" i="2"/>
  <c r="J26" i="2"/>
  <c r="J22" i="2"/>
  <c r="J32" i="2"/>
  <c r="J50" i="2"/>
  <c r="J42" i="2"/>
  <c r="J30" i="2"/>
  <c r="J18" i="2"/>
  <c r="J52" i="2"/>
  <c r="J44" i="2"/>
  <c r="J36" i="2"/>
  <c r="J28" i="2"/>
  <c r="J20" i="2"/>
  <c r="J55" i="2"/>
  <c r="J51" i="2"/>
  <c r="J47" i="2"/>
  <c r="J43" i="2"/>
  <c r="J39" i="2"/>
  <c r="J35" i="2"/>
  <c r="J31" i="2"/>
  <c r="J27" i="2"/>
  <c r="J23" i="2"/>
  <c r="J19" i="2"/>
  <c r="M57" i="2"/>
  <c r="J57" i="2" s="1"/>
  <c r="M53" i="2"/>
  <c r="J53" i="2" s="1"/>
  <c r="M49" i="2"/>
  <c r="J49" i="2" s="1"/>
  <c r="M45" i="2"/>
  <c r="J45" i="2" s="1"/>
  <c r="M41" i="2"/>
  <c r="J41" i="2" s="1"/>
  <c r="M37" i="2"/>
  <c r="J37" i="2" s="1"/>
  <c r="M33" i="2"/>
  <c r="J33" i="2" s="1"/>
  <c r="M29" i="2"/>
  <c r="J29" i="2" s="1"/>
  <c r="M25" i="2"/>
  <c r="J25" i="2" s="1"/>
  <c r="M21" i="2"/>
  <c r="J21" i="2" s="1"/>
  <c r="N4" i="5"/>
  <c r="N3" i="5"/>
  <c r="S74" i="2"/>
  <c r="S76" i="2" s="1"/>
  <c r="S78" i="2" s="1"/>
  <c r="N2" i="5"/>
  <c r="S89" i="2"/>
  <c r="R89" i="2"/>
  <c r="S68" i="2"/>
  <c r="N58" i="2"/>
  <c r="P58" i="2"/>
  <c r="Q17" i="2"/>
  <c r="Q58" i="2" s="1"/>
  <c r="O17" i="2"/>
  <c r="M17" i="2" l="1"/>
  <c r="M58" i="2" s="1"/>
  <c r="R76" i="2"/>
  <c r="R78" i="2" s="1"/>
  <c r="O58" i="2"/>
  <c r="J17" i="2" l="1"/>
  <c r="J58" i="2" s="1"/>
  <c r="S58" i="2"/>
</calcChain>
</file>

<file path=xl/sharedStrings.xml><?xml version="1.0" encoding="utf-8"?>
<sst xmlns="http://schemas.openxmlformats.org/spreadsheetml/2006/main" count="215" uniqueCount="131">
  <si>
    <t>Fecha</t>
  </si>
  <si>
    <t>Tipo de Documento</t>
  </si>
  <si>
    <t>Número de Documento</t>
  </si>
  <si>
    <t>Número de Control</t>
  </si>
  <si>
    <t>Nombre o Razón Social</t>
  </si>
  <si>
    <t>R.I.F.</t>
  </si>
  <si>
    <t>Total Compras</t>
  </si>
  <si>
    <t>Compras Exentas</t>
  </si>
  <si>
    <t>Base Imponible</t>
  </si>
  <si>
    <t>BASE IMPONIBLE</t>
  </si>
  <si>
    <t>Ventas internas no gravadas</t>
  </si>
  <si>
    <t>-</t>
  </si>
  <si>
    <t>Ventas internas gravadas por alícuota general</t>
  </si>
  <si>
    <t>Ajustes a los débitos fiscales de periodos anteriores</t>
  </si>
  <si>
    <t>Total ventas y débitos fiscales para efectos de determinación</t>
  </si>
  <si>
    <t>Total Débitos Fiscales</t>
  </si>
  <si>
    <t>Compras no gravadas y/o sin derecho a crédito fiscal</t>
  </si>
  <si>
    <t>Importación gravadas por alícuota general</t>
  </si>
  <si>
    <t>Compras internas gravadas por alícuota general</t>
  </si>
  <si>
    <t>Compras internas gravadas por alícuota reducida</t>
  </si>
  <si>
    <t>Total compras y créditos fiscales del periodo</t>
  </si>
  <si>
    <t>Ajustes a los créditos fiscales de periodos anteriores</t>
  </si>
  <si>
    <t>Total Créditos Fiscales</t>
  </si>
  <si>
    <t>TOTAL CUOTA TRIBUTARIA DEL PERIODO</t>
  </si>
  <si>
    <t>Anticipo Iva semana anterior</t>
  </si>
  <si>
    <t>0</t>
  </si>
  <si>
    <t>Excedente créditos fiscales para el mes siguiente</t>
  </si>
  <si>
    <t>Retenciones Acumuladas por descontar</t>
  </si>
  <si>
    <t>Retenciones del Periodo</t>
  </si>
  <si>
    <t>Total Retenciones</t>
  </si>
  <si>
    <t>Retenciones soportadas y descontadas en esta declaración</t>
  </si>
  <si>
    <t>Saldo de Retenciones de IVA no aplicado</t>
  </si>
  <si>
    <t>TOTAL A PAGAR</t>
  </si>
  <si>
    <t>Direccion</t>
  </si>
  <si>
    <t>Libro de Compra</t>
  </si>
  <si>
    <t>Fecha de 
Operación</t>
  </si>
  <si>
    <t>Compras Nacionales (16%)</t>
  </si>
  <si>
    <t>Compras Importacion (16%)</t>
  </si>
  <si>
    <t>Alicuota Reducida (8%)</t>
  </si>
  <si>
    <t>Credito Fiscales</t>
  </si>
  <si>
    <t>Retencion 75%</t>
  </si>
  <si>
    <t>Nº 
Documento</t>
  </si>
  <si>
    <t>TOTALES</t>
  </si>
  <si>
    <t>Resumen Debitos Fiscales</t>
  </si>
  <si>
    <t xml:space="preserve">DÉBITOS FISCALES </t>
  </si>
  <si>
    <t>Resumen Creditos Fiscales</t>
  </si>
  <si>
    <t>CRÉDITOS FISCALES</t>
  </si>
  <si>
    <t>CRÉDITO FISCAL</t>
  </si>
  <si>
    <t>AUTOLIQUIDACIÓN</t>
  </si>
  <si>
    <t>R.I.F:</t>
  </si>
  <si>
    <t xml:space="preserve">Razon Social: </t>
  </si>
  <si>
    <t>KING DRIVER, C.A.</t>
  </si>
  <si>
    <t>J507757188</t>
  </si>
  <si>
    <t>Periodo:</t>
  </si>
  <si>
    <t>AV. JOSE ANTONIO PAEZ EDIF RESIDENCIAS 2000 RESIDENCIAS CECILIA PISO PH APT 43 URB EL PARAISO CARACAS DISTRITO CAPITAL ZONA POSTAL 1020.</t>
  </si>
  <si>
    <t>Alicuota
 (%)</t>
  </si>
  <si>
    <t>Número de Nota de Debito</t>
  </si>
  <si>
    <t>Número de Nota de Credito</t>
  </si>
  <si>
    <t>Número de factura Afectada</t>
  </si>
  <si>
    <t>00-009265</t>
  </si>
  <si>
    <t>DISTRIBUIDORA FREPARTES C.A.</t>
  </si>
  <si>
    <t>J313445320</t>
  </si>
  <si>
    <t>ZZP0018130</t>
  </si>
  <si>
    <t>PANADERIA, PASTELERIA Y DELICATESES AVINTES, C.A.</t>
  </si>
  <si>
    <t>J502708405</t>
  </si>
  <si>
    <t>E000000230</t>
  </si>
  <si>
    <t>REPUESTOS YOGERES 06, C.A.</t>
  </si>
  <si>
    <t>J500732023</t>
  </si>
  <si>
    <t>Z7C7038186</t>
  </si>
  <si>
    <t>PROMOTORA METROPOLITANA, DE RESTAURANTES 25, C.A.</t>
  </si>
  <si>
    <t>J311359036</t>
  </si>
  <si>
    <t>Z7C7022224</t>
  </si>
  <si>
    <t>Grupo Canel, C.A.</t>
  </si>
  <si>
    <t>J409416860</t>
  </si>
  <si>
    <t>ZZP0006818</t>
  </si>
  <si>
    <t>MYKONOS GREEK FOOD, C.A.</t>
  </si>
  <si>
    <t>J504589616</t>
  </si>
  <si>
    <t>Z7C7000300</t>
  </si>
  <si>
    <t>INVERSIONES FLORENCIA 77, C.A.</t>
  </si>
  <si>
    <t>J317239199</t>
  </si>
  <si>
    <t>TIE2500154</t>
  </si>
  <si>
    <t>INVERSIONES FRAGANCE II 1999 C.A.</t>
  </si>
  <si>
    <t>J315404354</t>
  </si>
  <si>
    <t>ZZN0003547</t>
  </si>
  <si>
    <t>TECNICA DE EMBRAGUES DOBLE INTOCABLES 2010, C.A.</t>
  </si>
  <si>
    <t>J298524545</t>
  </si>
  <si>
    <t>ZZP0013674</t>
  </si>
  <si>
    <t>Comercializadora TUA 2024, C.A.</t>
  </si>
  <si>
    <t>J505670743</t>
  </si>
  <si>
    <t>ZZP0021188</t>
  </si>
  <si>
    <t>CONSORCIO IRB CCS, C.A.</t>
  </si>
  <si>
    <t>J507891054</t>
  </si>
  <si>
    <t>Z7C0022860</t>
  </si>
  <si>
    <t>FTL SBL CCS, C.A.</t>
  </si>
  <si>
    <t>J501690260</t>
  </si>
  <si>
    <t>ZZP0011912</t>
  </si>
  <si>
    <t>MERAKI 222, C.A.</t>
  </si>
  <si>
    <t>J506138387</t>
  </si>
  <si>
    <t>MULTIREPUESTOS CHINA PARTS 1668, C.A</t>
  </si>
  <si>
    <t>J317555364</t>
  </si>
  <si>
    <t>ZZL0002373</t>
  </si>
  <si>
    <t>SERVICIO TECNICO DE CAUCHOS ESTADIUM, C.A.</t>
  </si>
  <si>
    <t>J000622884</t>
  </si>
  <si>
    <t>00-001974</t>
  </si>
  <si>
    <t>REPUESTOS Y AUTOSERVICIO LA PAZ, C.A.</t>
  </si>
  <si>
    <t>J504638994</t>
  </si>
  <si>
    <t>1FC7002209</t>
  </si>
  <si>
    <t>DE TODO RESPUESTO AUTOMOTRIZ, C.A.</t>
  </si>
  <si>
    <t>J298830514</t>
  </si>
  <si>
    <t>00-050775</t>
  </si>
  <si>
    <t>AGRORUEDAS CHAKAO, C.A.</t>
  </si>
  <si>
    <t>J410230940</t>
  </si>
  <si>
    <t>REIKO IMPORT, C.A.</t>
  </si>
  <si>
    <t>J298420065</t>
  </si>
  <si>
    <t>Z7C0028758</t>
  </si>
  <si>
    <t>Pasta Morandi, C.A.</t>
  </si>
  <si>
    <t>J001598693</t>
  </si>
  <si>
    <t>Z7C0028754</t>
  </si>
  <si>
    <t>INVERSIONES RG 11-32 C.A.</t>
  </si>
  <si>
    <t>J308562157</t>
  </si>
  <si>
    <t>00-0001</t>
  </si>
  <si>
    <t>GABRIAN JOELRODRIGUEZ SALCEDO</t>
  </si>
  <si>
    <t>V238076869</t>
  </si>
  <si>
    <t>00-000158</t>
  </si>
  <si>
    <t>JORGE E. GONZALES SILVA</t>
  </si>
  <si>
    <t>V056081042</t>
  </si>
  <si>
    <t>00-000007</t>
  </si>
  <si>
    <t>MULTISERVICIOS C.J.P.J.D 2025, C.A.</t>
  </si>
  <si>
    <t>J507273164</t>
  </si>
  <si>
    <t>00-000008</t>
  </si>
  <si>
    <t>Prorrata de credito Fsicales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</si>
</sst>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0"/>
    <numFmt numFmtId="165" formatCode="yyyy\-mm\-dd"/>
    <numFmt numFmtId="166" formatCode="000000"/>
    <numFmt numFmtId="167" formatCode="00000000"/>
    <numFmt numFmtId="168" formatCode="0000000"/>
    <numFmt numFmtId="169" formatCode="0000"/>
    <numFmt numFmtId="170" formatCode="_ * #,##0.00_ ;_ * \(#,##0.00\)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43" fontId="2" fillId="2" borderId="0" xfId="1" applyFont="1" applyFill="1"/>
    <xf numFmtId="43" fontId="2" fillId="2" borderId="1" xfId="1" applyFont="1" applyFill="1" applyBorder="1"/>
    <xf numFmtId="0" fontId="3" fillId="3" borderId="12" xfId="0" applyFont="1" applyFill="1" applyBorder="1" applyAlignment="1">
      <alignment horizontal="center" vertical="center" wrapText="1"/>
    </xf>
    <xf numFmtId="43" fontId="2" fillId="3" borderId="17" xfId="0" applyNumberFormat="1" applyFont="1" applyFill="1" applyBorder="1"/>
    <xf numFmtId="43" fontId="2" fillId="3" borderId="18" xfId="0" applyNumberFormat="1" applyFont="1" applyFill="1" applyBorder="1"/>
    <xf numFmtId="0" fontId="3" fillId="2" borderId="0" xfId="0" applyFont="1" applyFill="1" applyAlignment="1"/>
    <xf numFmtId="0" fontId="2" fillId="2" borderId="0" xfId="0" applyFont="1" applyFill="1" applyAlignment="1"/>
    <xf numFmtId="0" fontId="3" fillId="3" borderId="0" xfId="0" applyFont="1" applyFill="1"/>
    <xf numFmtId="0" fontId="2" fillId="3" borderId="0" xfId="0" applyFont="1" applyFill="1"/>
    <xf numFmtId="43" fontId="2" fillId="3" borderId="0" xfId="0" applyNumberFormat="1" applyFont="1" applyFill="1"/>
    <xf numFmtId="0" fontId="3" fillId="3" borderId="0" xfId="0" applyFont="1" applyFill="1" applyAlignment="1">
      <alignment horizontal="center"/>
    </xf>
    <xf numFmtId="43" fontId="2" fillId="3" borderId="0" xfId="1" applyFont="1" applyFill="1"/>
    <xf numFmtId="43" fontId="3" fillId="3" borderId="0" xfId="0" applyNumberFormat="1" applyFont="1" applyFill="1"/>
    <xf numFmtId="43" fontId="2" fillId="2" borderId="1" xfId="1" applyFont="1" applyFill="1" applyBorder="1" applyAlignment="1">
      <alignment horizontal="center"/>
    </xf>
    <xf numFmtId="0" fontId="4" fillId="2" borderId="2" xfId="0" applyFont="1" applyFill="1" applyBorder="1" applyAlignment="1"/>
    <xf numFmtId="0" fontId="4" fillId="2" borderId="5" xfId="0" applyFont="1" applyFill="1" applyBorder="1" applyAlignment="1"/>
    <xf numFmtId="0" fontId="5" fillId="3" borderId="12" xfId="0" applyFont="1" applyFill="1" applyBorder="1" applyAlignment="1">
      <alignment horizontal="center" vertical="center" wrapText="1"/>
    </xf>
    <xf numFmtId="43" fontId="6" fillId="2" borderId="1" xfId="1" applyFont="1" applyFill="1" applyBorder="1"/>
    <xf numFmtId="165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6" fontId="6" fillId="2" borderId="10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167" fontId="6" fillId="2" borderId="1" xfId="0" applyNumberFormat="1" applyFont="1" applyFill="1" applyBorder="1" applyAlignment="1">
      <alignment horizontal="center"/>
    </xf>
    <xf numFmtId="43" fontId="6" fillId="2" borderId="1" xfId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167" fontId="6" fillId="2" borderId="10" xfId="0" applyNumberFormat="1" applyFont="1" applyFill="1" applyBorder="1" applyAlignment="1">
      <alignment horizontal="center"/>
    </xf>
    <xf numFmtId="43" fontId="2" fillId="2" borderId="19" xfId="1" applyFont="1" applyFill="1" applyBorder="1"/>
    <xf numFmtId="0" fontId="3" fillId="3" borderId="13" xfId="0" applyFont="1" applyFill="1" applyBorder="1" applyAlignment="1">
      <alignment horizontal="center" vertical="center" wrapText="1"/>
    </xf>
    <xf numFmtId="43" fontId="2" fillId="2" borderId="20" xfId="1" applyFont="1" applyFill="1" applyBorder="1"/>
    <xf numFmtId="166" fontId="6" fillId="2" borderId="7" xfId="0" applyNumberFormat="1" applyFont="1" applyFill="1" applyBorder="1" applyAlignment="1">
      <alignment horizontal="center"/>
    </xf>
    <xf numFmtId="0" fontId="6" fillId="2" borderId="19" xfId="0" applyFont="1" applyFill="1" applyBorder="1" applyAlignment="1">
      <alignment horizontal="center"/>
    </xf>
    <xf numFmtId="43" fontId="6" fillId="2" borderId="19" xfId="1" applyFont="1" applyFill="1" applyBorder="1"/>
    <xf numFmtId="0" fontId="6" fillId="2" borderId="19" xfId="0" applyFont="1" applyFill="1" applyBorder="1"/>
    <xf numFmtId="0" fontId="5" fillId="3" borderId="13" xfId="0" applyFont="1" applyFill="1" applyBorder="1" applyAlignment="1">
      <alignment horizontal="center" vertical="center" wrapText="1"/>
    </xf>
    <xf numFmtId="9" fontId="3" fillId="3" borderId="13" xfId="0" applyNumberFormat="1" applyFont="1" applyFill="1" applyBorder="1" applyAlignment="1">
      <alignment horizontal="center" vertical="center" wrapText="1"/>
    </xf>
    <xf numFmtId="43" fontId="3" fillId="2" borderId="0" xfId="1" applyFont="1" applyFill="1"/>
    <xf numFmtId="43" fontId="3" fillId="3" borderId="0" xfId="1" applyFont="1" applyFill="1"/>
    <xf numFmtId="0" fontId="4" fillId="2" borderId="0" xfId="0" applyFont="1" applyFill="1" applyBorder="1" applyAlignment="1">
      <alignment horizontal="left"/>
    </xf>
    <xf numFmtId="167" fontId="6" fillId="2" borderId="1" xfId="0" applyNumberFormat="1" applyFont="1" applyFill="1" applyBorder="1" applyAlignment="1">
      <alignment horizontal="right"/>
    </xf>
    <xf numFmtId="166" fontId="6" fillId="2" borderId="1" xfId="0" applyNumberFormat="1" applyFont="1" applyFill="1" applyBorder="1" applyAlignment="1">
      <alignment horizontal="right"/>
    </xf>
    <xf numFmtId="169" fontId="6" fillId="2" borderId="1" xfId="0" applyNumberFormat="1" applyFont="1" applyFill="1" applyBorder="1" applyAlignment="1">
      <alignment horizontal="right"/>
    </xf>
    <xf numFmtId="165" fontId="6" fillId="4" borderId="1" xfId="0" applyNumberFormat="1" applyFont="1" applyFill="1" applyBorder="1" applyAlignment="1">
      <alignment horizontal="center"/>
    </xf>
    <xf numFmtId="164" fontId="6" fillId="4" borderId="1" xfId="0" applyNumberFormat="1" applyFont="1" applyFill="1" applyBorder="1" applyAlignment="1">
      <alignment horizontal="center"/>
    </xf>
    <xf numFmtId="43" fontId="6" fillId="4" borderId="1" xfId="1" applyFont="1" applyFill="1" applyBorder="1" applyAlignment="1">
      <alignment horizontal="center"/>
    </xf>
    <xf numFmtId="43" fontId="6" fillId="4" borderId="1" xfId="1" applyFont="1" applyFill="1" applyBorder="1"/>
    <xf numFmtId="168" fontId="6" fillId="4" borderId="1" xfId="0" applyNumberFormat="1" applyFont="1" applyFill="1" applyBorder="1" applyAlignment="1">
      <alignment horizontal="center"/>
    </xf>
    <xf numFmtId="166" fontId="6" fillId="4" borderId="1" xfId="0" applyNumberFormat="1" applyFont="1" applyFill="1" applyBorder="1" applyAlignment="1">
      <alignment horizontal="center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43" fontId="2" fillId="4" borderId="1" xfId="1" applyFont="1" applyFill="1" applyBorder="1"/>
    <xf numFmtId="43" fontId="2" fillId="4" borderId="1" xfId="1" applyFont="1" applyFill="1" applyBorder="1" applyAlignment="1">
      <alignment horizontal="center"/>
    </xf>
    <xf numFmtId="0" fontId="2" fillId="4" borderId="0" xfId="0" applyFont="1" applyFill="1"/>
    <xf numFmtId="43" fontId="6" fillId="2" borderId="19" xfId="1" applyFont="1" applyFill="1" applyBorder="1" applyAlignment="1">
      <alignment horizontal="center"/>
    </xf>
    <xf numFmtId="0" fontId="3" fillId="2" borderId="2" xfId="0" applyFont="1" applyFill="1" applyBorder="1"/>
    <xf numFmtId="0" fontId="3" fillId="2" borderId="5" xfId="0" applyFont="1" applyFill="1" applyBorder="1"/>
    <xf numFmtId="0" fontId="2" fillId="2" borderId="0" xfId="0" applyFont="1" applyFill="1" applyBorder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5" xfId="0" applyFont="1" applyFill="1" applyBorder="1" applyAlignment="1"/>
    <xf numFmtId="0" fontId="3" fillId="2" borderId="5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/>
    </xf>
    <xf numFmtId="0" fontId="2" fillId="2" borderId="6" xfId="0" applyFont="1" applyFill="1" applyBorder="1" applyAlignment="1">
      <alignment horizontal="left"/>
    </xf>
    <xf numFmtId="0" fontId="3" fillId="2" borderId="7" xfId="0" applyFont="1" applyFill="1" applyBorder="1" applyAlignment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4" xfId="0" applyFont="1" applyFill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1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17" fontId="3" fillId="2" borderId="8" xfId="0" applyNumberFormat="1" applyFont="1" applyFill="1" applyBorder="1" applyAlignment="1">
      <alignment horizontal="left"/>
    </xf>
    <xf numFmtId="17" fontId="3" fillId="2" borderId="9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170" fontId="3" fillId="3" borderId="0" xfId="0" applyNumberFormat="1" applyFon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ECCA-9697-4F3F-BC68-BDA0AF75FBA3}">
  <dimension ref="A1:T42"/>
  <sheetViews>
    <sheetView zoomScale="80" zoomScaleNormal="80" workbookViewId="0">
      <selection activeCell="F32" sqref="F32:G32"/>
    </sheetView>
  </sheetViews>
  <sheetFormatPr baseColWidth="10" defaultRowHeight="12" customHeight="1" x14ac:dyDescent="0.2"/>
  <cols>
    <col min="1" max="1" width="14.28515625" style="2" bestFit="1" customWidth="1"/>
    <col min="2" max="2" width="13.7109375" style="1" customWidth="1"/>
    <col min="3" max="3" width="14" style="2" customWidth="1"/>
    <col min="4" max="4" width="11.42578125" style="2"/>
    <col min="5" max="7" width="11.42578125" style="1"/>
    <col min="8" max="8" width="65.85546875" style="1" customWidth="1"/>
    <col min="9" max="9" width="11.42578125" style="2"/>
    <col min="10" max="18" width="11.42578125" style="1"/>
    <col min="19" max="19" width="13.7109375" style="1" bestFit="1" customWidth="1"/>
    <col min="20" max="20" width="15.28515625" style="1" customWidth="1"/>
    <col min="21" max="16384" width="11.42578125" style="1"/>
  </cols>
  <sheetData>
    <row r="1" spans="1:20" s="3" customFormat="1" ht="33.75" x14ac:dyDescent="0.2">
      <c r="A1" s="6" t="s">
        <v>35</v>
      </c>
      <c r="B1" s="6" t="s">
        <v>1</v>
      </c>
      <c r="C1" s="6" t="s">
        <v>2</v>
      </c>
      <c r="D1" s="6" t="s">
        <v>3</v>
      </c>
      <c r="E1" s="20" t="s">
        <v>56</v>
      </c>
      <c r="F1" s="20" t="s">
        <v>57</v>
      </c>
      <c r="G1" s="20" t="s">
        <v>58</v>
      </c>
      <c r="H1" s="6" t="s">
        <v>4</v>
      </c>
      <c r="I1" s="6" t="s">
        <v>5</v>
      </c>
      <c r="J1" s="6" t="s">
        <v>6</v>
      </c>
      <c r="K1" s="6" t="s">
        <v>7</v>
      </c>
      <c r="L1" s="6" t="s">
        <v>8</v>
      </c>
      <c r="M1" s="6" t="s">
        <v>55</v>
      </c>
      <c r="N1" s="6" t="s">
        <v>39</v>
      </c>
      <c r="O1" s="1"/>
      <c r="P1" s="1"/>
      <c r="Q1" s="1"/>
      <c r="R1" s="1"/>
      <c r="S1" s="1"/>
      <c r="T1" s="1"/>
    </row>
    <row r="2" spans="1:20" ht="12" customHeight="1" x14ac:dyDescent="0.2">
      <c r="A2" s="22">
        <v>46147</v>
      </c>
      <c r="B2" s="23">
        <v>1</v>
      </c>
      <c r="C2" s="24">
        <v>10765</v>
      </c>
      <c r="D2" s="25" t="s">
        <v>59</v>
      </c>
      <c r="E2" s="21">
        <v>0</v>
      </c>
      <c r="F2" s="21">
        <v>0</v>
      </c>
      <c r="G2" s="21">
        <v>0</v>
      </c>
      <c r="H2" s="26" t="s">
        <v>60</v>
      </c>
      <c r="I2" s="25" t="s">
        <v>61</v>
      </c>
      <c r="J2" s="5">
        <f>N2+L2+K2</f>
        <v>5798.3760000000002</v>
      </c>
      <c r="K2" s="21">
        <v>0</v>
      </c>
      <c r="L2" s="21">
        <v>4998.6000000000004</v>
      </c>
      <c r="M2" s="17">
        <v>16</v>
      </c>
      <c r="N2" s="5">
        <f>L2*16/100</f>
        <v>799.77600000000007</v>
      </c>
    </row>
    <row r="3" spans="1:20" ht="12" customHeight="1" x14ac:dyDescent="0.2">
      <c r="A3" s="22">
        <v>46147</v>
      </c>
      <c r="B3" s="23">
        <v>1</v>
      </c>
      <c r="C3" s="30">
        <v>19075</v>
      </c>
      <c r="D3" s="25" t="s">
        <v>62</v>
      </c>
      <c r="E3" s="21">
        <v>0</v>
      </c>
      <c r="F3" s="21">
        <v>0</v>
      </c>
      <c r="G3" s="21">
        <v>0</v>
      </c>
      <c r="H3" s="26" t="s">
        <v>63</v>
      </c>
      <c r="I3" s="25" t="s">
        <v>64</v>
      </c>
      <c r="J3" s="5">
        <f t="shared" ref="J3:J42" si="0">N3+L3+K3</f>
        <v>8916.3780000000006</v>
      </c>
      <c r="K3" s="21">
        <v>4900.3999999999996</v>
      </c>
      <c r="L3" s="21">
        <v>3462.05</v>
      </c>
      <c r="M3" s="17">
        <v>16</v>
      </c>
      <c r="N3" s="5">
        <f t="shared" ref="N3:N4" si="1">L3*16/100</f>
        <v>553.928</v>
      </c>
    </row>
    <row r="4" spans="1:20" ht="12" customHeight="1" x14ac:dyDescent="0.2">
      <c r="A4" s="22">
        <v>46150</v>
      </c>
      <c r="B4" s="23">
        <v>1</v>
      </c>
      <c r="C4" s="30">
        <v>35829</v>
      </c>
      <c r="D4" s="25" t="s">
        <v>65</v>
      </c>
      <c r="E4" s="21">
        <v>0</v>
      </c>
      <c r="F4" s="21">
        <v>0</v>
      </c>
      <c r="G4" s="21">
        <v>0</v>
      </c>
      <c r="H4" s="26" t="s">
        <v>66</v>
      </c>
      <c r="I4" s="25" t="s">
        <v>67</v>
      </c>
      <c r="J4" s="5">
        <f t="shared" si="0"/>
        <v>9997.2048000000013</v>
      </c>
      <c r="K4" s="21">
        <v>0</v>
      </c>
      <c r="L4" s="21">
        <v>8618.2800000000007</v>
      </c>
      <c r="M4" s="17">
        <v>16</v>
      </c>
      <c r="N4" s="5">
        <f t="shared" si="1"/>
        <v>1378.9248</v>
      </c>
    </row>
    <row r="5" spans="1:20" ht="12" customHeight="1" x14ac:dyDescent="0.2">
      <c r="A5" s="22">
        <v>46150</v>
      </c>
      <c r="B5" s="23">
        <v>1</v>
      </c>
      <c r="C5" s="30">
        <v>51789</v>
      </c>
      <c r="D5" s="25" t="s">
        <v>68</v>
      </c>
      <c r="E5" s="21">
        <v>0</v>
      </c>
      <c r="F5" s="21">
        <v>0</v>
      </c>
      <c r="G5" s="21">
        <v>0</v>
      </c>
      <c r="H5" s="26" t="s">
        <v>69</v>
      </c>
      <c r="I5" s="25" t="s">
        <v>70</v>
      </c>
      <c r="J5" s="5">
        <f t="shared" si="0"/>
        <v>8997.482</v>
      </c>
      <c r="K5" s="21">
        <v>0</v>
      </c>
      <c r="L5" s="21">
        <v>7756.45</v>
      </c>
      <c r="M5" s="17">
        <v>16</v>
      </c>
      <c r="N5" s="5">
        <f t="shared" ref="N5:N39" si="2">L5*16/100</f>
        <v>1241.0319999999999</v>
      </c>
    </row>
    <row r="6" spans="1:20" ht="12" customHeight="1" x14ac:dyDescent="0.2">
      <c r="A6" s="22">
        <v>46150</v>
      </c>
      <c r="B6" s="23">
        <v>1</v>
      </c>
      <c r="C6" s="30">
        <v>36085</v>
      </c>
      <c r="D6" s="25" t="s">
        <v>71</v>
      </c>
      <c r="E6" s="21">
        <v>0</v>
      </c>
      <c r="F6" s="21">
        <v>0</v>
      </c>
      <c r="G6" s="21">
        <v>0</v>
      </c>
      <c r="H6" s="26" t="s">
        <v>72</v>
      </c>
      <c r="I6" s="25" t="s">
        <v>73</v>
      </c>
      <c r="J6" s="5">
        <f t="shared" si="0"/>
        <v>4528.3732</v>
      </c>
      <c r="K6" s="21">
        <v>0</v>
      </c>
      <c r="L6" s="21">
        <v>3903.77</v>
      </c>
      <c r="M6" s="17">
        <v>16</v>
      </c>
      <c r="N6" s="5">
        <f t="shared" si="2"/>
        <v>624.60320000000002</v>
      </c>
    </row>
    <row r="7" spans="1:20" ht="12" customHeight="1" x14ac:dyDescent="0.2">
      <c r="A7" s="22">
        <v>46150</v>
      </c>
      <c r="B7" s="23">
        <v>1</v>
      </c>
      <c r="C7" s="30">
        <v>84203</v>
      </c>
      <c r="D7" s="25" t="s">
        <v>74</v>
      </c>
      <c r="E7" s="21">
        <v>0</v>
      </c>
      <c r="F7" s="21">
        <v>0</v>
      </c>
      <c r="G7" s="21">
        <v>0</v>
      </c>
      <c r="H7" s="26" t="s">
        <v>75</v>
      </c>
      <c r="I7" s="25" t="s">
        <v>76</v>
      </c>
      <c r="J7" s="5">
        <f t="shared" si="0"/>
        <v>4998.6024000000007</v>
      </c>
      <c r="K7" s="21">
        <v>0</v>
      </c>
      <c r="L7" s="21">
        <v>4309.1400000000003</v>
      </c>
      <c r="M7" s="17">
        <v>16</v>
      </c>
      <c r="N7" s="5">
        <f t="shared" si="2"/>
        <v>689.4624</v>
      </c>
    </row>
    <row r="8" spans="1:20" ht="12" customHeight="1" x14ac:dyDescent="0.2">
      <c r="A8" s="22">
        <v>46152</v>
      </c>
      <c r="B8" s="23">
        <v>1</v>
      </c>
      <c r="C8" s="30">
        <v>73940</v>
      </c>
      <c r="D8" s="25" t="s">
        <v>77</v>
      </c>
      <c r="E8" s="21">
        <v>0</v>
      </c>
      <c r="F8" s="21">
        <v>0</v>
      </c>
      <c r="G8" s="21">
        <v>0</v>
      </c>
      <c r="H8" s="26" t="s">
        <v>78</v>
      </c>
      <c r="I8" s="25" t="s">
        <v>79</v>
      </c>
      <c r="J8" s="5">
        <f t="shared" si="0"/>
        <v>21217.571599999999</v>
      </c>
      <c r="K8" s="21">
        <v>0</v>
      </c>
      <c r="L8" s="21">
        <v>18291.009999999998</v>
      </c>
      <c r="M8" s="17">
        <v>16</v>
      </c>
      <c r="N8" s="5">
        <f t="shared" si="2"/>
        <v>2926.5615999999995</v>
      </c>
    </row>
    <row r="9" spans="1:20" ht="12" customHeight="1" x14ac:dyDescent="0.2">
      <c r="A9" s="22">
        <v>46152</v>
      </c>
      <c r="B9" s="23">
        <v>1</v>
      </c>
      <c r="C9" s="30">
        <v>5265</v>
      </c>
      <c r="D9" s="25" t="s">
        <v>80</v>
      </c>
      <c r="E9" s="21">
        <v>0</v>
      </c>
      <c r="F9" s="21">
        <v>0</v>
      </c>
      <c r="G9" s="21">
        <v>0</v>
      </c>
      <c r="H9" s="26" t="s">
        <v>81</v>
      </c>
      <c r="I9" s="25" t="s">
        <v>82</v>
      </c>
      <c r="J9" s="5">
        <f t="shared" si="0"/>
        <v>28340.018</v>
      </c>
      <c r="K9" s="21">
        <v>0</v>
      </c>
      <c r="L9" s="21">
        <v>24431.05</v>
      </c>
      <c r="M9" s="17">
        <v>16</v>
      </c>
      <c r="N9" s="5">
        <f t="shared" si="2"/>
        <v>3908.9679999999998</v>
      </c>
    </row>
    <row r="10" spans="1:20" ht="12" customHeight="1" x14ac:dyDescent="0.2">
      <c r="A10" s="22">
        <v>46153</v>
      </c>
      <c r="B10" s="23">
        <v>1</v>
      </c>
      <c r="C10" s="30">
        <v>2021</v>
      </c>
      <c r="D10" s="25" t="s">
        <v>83</v>
      </c>
      <c r="E10" s="21">
        <v>0</v>
      </c>
      <c r="F10" s="21">
        <v>0</v>
      </c>
      <c r="G10" s="21">
        <v>0</v>
      </c>
      <c r="H10" s="26" t="s">
        <v>84</v>
      </c>
      <c r="I10" s="25" t="s">
        <v>85</v>
      </c>
      <c r="J10" s="5">
        <f t="shared" si="0"/>
        <v>35399.998400000004</v>
      </c>
      <c r="K10" s="21">
        <v>0</v>
      </c>
      <c r="L10" s="21">
        <v>30517.24</v>
      </c>
      <c r="M10" s="17">
        <v>16</v>
      </c>
      <c r="N10" s="5">
        <f t="shared" si="2"/>
        <v>4882.7584000000006</v>
      </c>
    </row>
    <row r="11" spans="1:20" ht="12" customHeight="1" x14ac:dyDescent="0.2">
      <c r="A11" s="22">
        <v>46153</v>
      </c>
      <c r="B11" s="23">
        <v>1</v>
      </c>
      <c r="C11" s="27">
        <v>3343</v>
      </c>
      <c r="D11" s="25" t="s">
        <v>86</v>
      </c>
      <c r="E11" s="21">
        <v>0</v>
      </c>
      <c r="F11" s="21">
        <v>0</v>
      </c>
      <c r="G11" s="21">
        <v>0</v>
      </c>
      <c r="H11" s="26" t="s">
        <v>87</v>
      </c>
      <c r="I11" s="25" t="s">
        <v>88</v>
      </c>
      <c r="J11" s="5">
        <f t="shared" si="0"/>
        <v>16334.5604</v>
      </c>
      <c r="K11" s="21">
        <v>1296.3900000000001</v>
      </c>
      <c r="L11" s="21">
        <v>12963.94</v>
      </c>
      <c r="M11" s="17">
        <v>16</v>
      </c>
      <c r="N11" s="5">
        <f t="shared" si="2"/>
        <v>2074.2303999999999</v>
      </c>
    </row>
    <row r="12" spans="1:20" ht="12" customHeight="1" x14ac:dyDescent="0.2">
      <c r="A12" s="22">
        <v>46154</v>
      </c>
      <c r="B12" s="23">
        <v>1</v>
      </c>
      <c r="C12" s="27">
        <v>52555</v>
      </c>
      <c r="D12" s="25" t="s">
        <v>68</v>
      </c>
      <c r="E12" s="21">
        <v>0</v>
      </c>
      <c r="F12" s="21">
        <v>0</v>
      </c>
      <c r="G12" s="21">
        <v>0</v>
      </c>
      <c r="H12" s="26" t="s">
        <v>69</v>
      </c>
      <c r="I12" s="25" t="s">
        <v>70</v>
      </c>
      <c r="J12" s="5">
        <f t="shared" si="0"/>
        <v>7321.2124000000003</v>
      </c>
      <c r="K12" s="21">
        <v>0</v>
      </c>
      <c r="L12" s="21">
        <v>6311.39</v>
      </c>
      <c r="M12" s="17">
        <v>16</v>
      </c>
      <c r="N12" s="5">
        <f t="shared" si="2"/>
        <v>1009.8224</v>
      </c>
    </row>
    <row r="13" spans="1:20" ht="12" customHeight="1" x14ac:dyDescent="0.2">
      <c r="A13" s="22">
        <v>46154</v>
      </c>
      <c r="B13" s="23">
        <v>1</v>
      </c>
      <c r="C13" s="27">
        <v>959</v>
      </c>
      <c r="D13" s="25" t="s">
        <v>89</v>
      </c>
      <c r="E13" s="21">
        <v>0</v>
      </c>
      <c r="F13" s="21">
        <v>0</v>
      </c>
      <c r="G13" s="21">
        <v>0</v>
      </c>
      <c r="H13" s="26" t="s">
        <v>90</v>
      </c>
      <c r="I13" s="25" t="s">
        <v>91</v>
      </c>
      <c r="J13" s="5">
        <f t="shared" si="0"/>
        <v>21350.0088</v>
      </c>
      <c r="K13" s="21">
        <v>0</v>
      </c>
      <c r="L13" s="21">
        <v>18405.18</v>
      </c>
      <c r="M13" s="17">
        <v>16</v>
      </c>
      <c r="N13" s="5">
        <f t="shared" si="2"/>
        <v>2944.8288000000002</v>
      </c>
    </row>
    <row r="14" spans="1:20" ht="12" customHeight="1" x14ac:dyDescent="0.2">
      <c r="A14" s="22">
        <v>46154</v>
      </c>
      <c r="B14" s="23">
        <v>1</v>
      </c>
      <c r="C14" s="27">
        <v>10523</v>
      </c>
      <c r="D14" s="25" t="s">
        <v>92</v>
      </c>
      <c r="E14" s="21">
        <v>0</v>
      </c>
      <c r="F14" s="21">
        <v>0</v>
      </c>
      <c r="G14" s="21">
        <v>0</v>
      </c>
      <c r="H14" s="26" t="s">
        <v>93</v>
      </c>
      <c r="I14" s="25" t="s">
        <v>94</v>
      </c>
      <c r="J14" s="5">
        <f t="shared" si="0"/>
        <v>54530.753199999999</v>
      </c>
      <c r="K14" s="21">
        <v>0</v>
      </c>
      <c r="L14" s="21">
        <v>47009.27</v>
      </c>
      <c r="M14" s="17">
        <v>16</v>
      </c>
      <c r="N14" s="5">
        <f t="shared" si="2"/>
        <v>7521.4831999999997</v>
      </c>
    </row>
    <row r="15" spans="1:20" ht="12" customHeight="1" x14ac:dyDescent="0.2">
      <c r="A15" s="22">
        <v>46154</v>
      </c>
      <c r="B15" s="23">
        <v>1</v>
      </c>
      <c r="C15" s="27">
        <v>46952</v>
      </c>
      <c r="D15" s="25" t="s">
        <v>95</v>
      </c>
      <c r="E15" s="21"/>
      <c r="F15" s="21"/>
      <c r="G15" s="21"/>
      <c r="H15" s="26" t="s">
        <v>96</v>
      </c>
      <c r="I15" s="25" t="s">
        <v>97</v>
      </c>
      <c r="J15" s="5">
        <f t="shared" si="0"/>
        <v>8078.5416000000005</v>
      </c>
      <c r="K15" s="21">
        <v>0</v>
      </c>
      <c r="L15" s="21">
        <v>6964.26</v>
      </c>
      <c r="M15" s="17">
        <v>16</v>
      </c>
      <c r="N15" s="5">
        <f t="shared" si="2"/>
        <v>1114.2816</v>
      </c>
    </row>
    <row r="16" spans="1:20" ht="12" customHeight="1" x14ac:dyDescent="0.2">
      <c r="A16" s="22">
        <v>46155</v>
      </c>
      <c r="B16" s="23">
        <v>1</v>
      </c>
      <c r="C16" s="27">
        <v>5995</v>
      </c>
      <c r="D16" s="27">
        <v>5995</v>
      </c>
      <c r="E16" s="28">
        <v>0</v>
      </c>
      <c r="F16" s="28">
        <v>0</v>
      </c>
      <c r="G16" s="28">
        <v>0</v>
      </c>
      <c r="H16" s="26" t="s">
        <v>98</v>
      </c>
      <c r="I16" s="25" t="s">
        <v>99</v>
      </c>
      <c r="J16" s="5">
        <f t="shared" si="0"/>
        <v>54242.18</v>
      </c>
      <c r="K16" s="21">
        <v>0</v>
      </c>
      <c r="L16" s="21">
        <v>46760.5</v>
      </c>
      <c r="M16" s="17">
        <v>16</v>
      </c>
      <c r="N16" s="5">
        <f t="shared" si="2"/>
        <v>7481.68</v>
      </c>
    </row>
    <row r="17" spans="1:15" ht="12" customHeight="1" x14ac:dyDescent="0.2">
      <c r="A17" s="22">
        <v>46155</v>
      </c>
      <c r="B17" s="23">
        <v>1</v>
      </c>
      <c r="C17" s="27">
        <v>2621</v>
      </c>
      <c r="D17" s="25" t="s">
        <v>100</v>
      </c>
      <c r="E17" s="21">
        <v>0</v>
      </c>
      <c r="F17" s="21">
        <v>0</v>
      </c>
      <c r="G17" s="21">
        <v>0</v>
      </c>
      <c r="H17" s="26" t="s">
        <v>101</v>
      </c>
      <c r="I17" s="25" t="s">
        <v>102</v>
      </c>
      <c r="J17" s="5">
        <f t="shared" si="0"/>
        <v>20319.371999999999</v>
      </c>
      <c r="K17" s="21">
        <v>0</v>
      </c>
      <c r="L17" s="21">
        <v>17516.7</v>
      </c>
      <c r="M17" s="17">
        <v>16</v>
      </c>
      <c r="N17" s="5">
        <f t="shared" si="2"/>
        <v>2802.672</v>
      </c>
    </row>
    <row r="18" spans="1:15" ht="12" customHeight="1" x14ac:dyDescent="0.2">
      <c r="A18" s="22">
        <v>46155</v>
      </c>
      <c r="B18" s="23">
        <v>1</v>
      </c>
      <c r="C18" s="27">
        <v>2021</v>
      </c>
      <c r="D18" s="25" t="s">
        <v>83</v>
      </c>
      <c r="E18" s="21">
        <v>0</v>
      </c>
      <c r="F18" s="21">
        <v>0</v>
      </c>
      <c r="G18" s="21">
        <v>0</v>
      </c>
      <c r="H18" s="26" t="s">
        <v>84</v>
      </c>
      <c r="I18" s="25" t="s">
        <v>85</v>
      </c>
      <c r="J18" s="5">
        <f t="shared" si="0"/>
        <v>41499.997600000002</v>
      </c>
      <c r="K18" s="21">
        <v>0</v>
      </c>
      <c r="L18" s="21">
        <v>35775.86</v>
      </c>
      <c r="M18" s="17">
        <v>16</v>
      </c>
      <c r="N18" s="5">
        <f t="shared" si="2"/>
        <v>5724.1376</v>
      </c>
    </row>
    <row r="19" spans="1:15" ht="12" customHeight="1" x14ac:dyDescent="0.2">
      <c r="A19" s="22">
        <v>46156</v>
      </c>
      <c r="B19" s="23">
        <v>1</v>
      </c>
      <c r="C19" s="27">
        <v>5996</v>
      </c>
      <c r="D19" s="27">
        <v>5996</v>
      </c>
      <c r="E19" s="28">
        <v>0</v>
      </c>
      <c r="F19" s="28">
        <v>0</v>
      </c>
      <c r="G19" s="28">
        <v>0</v>
      </c>
      <c r="H19" s="26" t="s">
        <v>98</v>
      </c>
      <c r="I19" s="25" t="s">
        <v>99</v>
      </c>
      <c r="J19" s="5">
        <f t="shared" si="0"/>
        <v>26218.853599999999</v>
      </c>
      <c r="K19" s="21">
        <v>0</v>
      </c>
      <c r="L19" s="21">
        <v>22602.46</v>
      </c>
      <c r="M19" s="17">
        <v>16</v>
      </c>
      <c r="N19" s="5">
        <f t="shared" si="2"/>
        <v>3616.3935999999999</v>
      </c>
    </row>
    <row r="20" spans="1:15" ht="12" customHeight="1" x14ac:dyDescent="0.2">
      <c r="A20" s="22">
        <v>46156</v>
      </c>
      <c r="B20" s="23">
        <v>1</v>
      </c>
      <c r="C20" s="27">
        <v>19657</v>
      </c>
      <c r="D20" s="25" t="s">
        <v>62</v>
      </c>
      <c r="E20" s="21">
        <v>0</v>
      </c>
      <c r="F20" s="21">
        <v>0</v>
      </c>
      <c r="G20" s="21">
        <v>0</v>
      </c>
      <c r="H20" s="26" t="s">
        <v>63</v>
      </c>
      <c r="I20" s="25" t="s">
        <v>64</v>
      </c>
      <c r="J20" s="5">
        <f t="shared" si="0"/>
        <v>3371.2168000000001</v>
      </c>
      <c r="K20" s="21">
        <v>766.17</v>
      </c>
      <c r="L20" s="21">
        <v>2245.73</v>
      </c>
      <c r="M20" s="17">
        <v>16</v>
      </c>
      <c r="N20" s="5">
        <f t="shared" si="2"/>
        <v>359.3168</v>
      </c>
    </row>
    <row r="21" spans="1:15" ht="12" customHeight="1" x14ac:dyDescent="0.2">
      <c r="A21" s="22">
        <v>46159</v>
      </c>
      <c r="B21" s="23">
        <v>1</v>
      </c>
      <c r="C21" s="27">
        <v>53387</v>
      </c>
      <c r="D21" s="25" t="s">
        <v>68</v>
      </c>
      <c r="E21" s="21">
        <v>0</v>
      </c>
      <c r="F21" s="21">
        <v>0</v>
      </c>
      <c r="G21" s="21">
        <v>0</v>
      </c>
      <c r="H21" s="26" t="s">
        <v>69</v>
      </c>
      <c r="I21" s="25" t="s">
        <v>70</v>
      </c>
      <c r="J21" s="5">
        <f t="shared" si="0"/>
        <v>10100.224399999999</v>
      </c>
      <c r="K21" s="21">
        <v>0</v>
      </c>
      <c r="L21" s="21">
        <v>8707.09</v>
      </c>
      <c r="M21" s="17">
        <v>16</v>
      </c>
      <c r="N21" s="5">
        <f t="shared" si="2"/>
        <v>1393.1343999999999</v>
      </c>
    </row>
    <row r="22" spans="1:15" ht="12" customHeight="1" x14ac:dyDescent="0.2">
      <c r="A22" s="22">
        <v>46160</v>
      </c>
      <c r="B22" s="23">
        <v>1</v>
      </c>
      <c r="C22" s="27">
        <v>6005</v>
      </c>
      <c r="D22" s="27">
        <v>6005</v>
      </c>
      <c r="E22" s="28">
        <v>0</v>
      </c>
      <c r="F22" s="28">
        <v>0</v>
      </c>
      <c r="G22" s="28">
        <v>0</v>
      </c>
      <c r="H22" s="26" t="s">
        <v>98</v>
      </c>
      <c r="I22" s="25" t="s">
        <v>99</v>
      </c>
      <c r="J22" s="5">
        <f t="shared" si="0"/>
        <v>31497.143599999999</v>
      </c>
      <c r="K22" s="21">
        <v>0</v>
      </c>
      <c r="L22" s="21">
        <v>27152.71</v>
      </c>
      <c r="M22" s="17">
        <v>16</v>
      </c>
      <c r="N22" s="5">
        <f t="shared" si="2"/>
        <v>4344.4336000000003</v>
      </c>
    </row>
    <row r="23" spans="1:15" ht="12" customHeight="1" x14ac:dyDescent="0.2">
      <c r="A23" s="22">
        <v>46160</v>
      </c>
      <c r="B23" s="23">
        <v>1</v>
      </c>
      <c r="C23" s="25">
        <v>562</v>
      </c>
      <c r="D23" s="25" t="s">
        <v>103</v>
      </c>
      <c r="E23" s="28">
        <v>0</v>
      </c>
      <c r="F23" s="28">
        <v>0</v>
      </c>
      <c r="G23" s="28">
        <v>0</v>
      </c>
      <c r="H23" s="26" t="s">
        <v>104</v>
      </c>
      <c r="I23" s="25" t="s">
        <v>105</v>
      </c>
      <c r="J23" s="5">
        <f t="shared" si="0"/>
        <v>114158.38399999999</v>
      </c>
      <c r="K23" s="21">
        <v>0</v>
      </c>
      <c r="L23" s="21">
        <v>98412.4</v>
      </c>
      <c r="M23" s="17">
        <v>16</v>
      </c>
      <c r="N23" s="5">
        <f t="shared" si="2"/>
        <v>15745.983999999999</v>
      </c>
    </row>
    <row r="24" spans="1:15" ht="12" customHeight="1" x14ac:dyDescent="0.2">
      <c r="A24" s="22">
        <v>46162</v>
      </c>
      <c r="B24" s="23">
        <v>1</v>
      </c>
      <c r="C24" s="29">
        <v>3665</v>
      </c>
      <c r="D24" s="25" t="s">
        <v>106</v>
      </c>
      <c r="E24" s="21">
        <v>0</v>
      </c>
      <c r="F24" s="21">
        <v>0</v>
      </c>
      <c r="G24" s="21">
        <v>0</v>
      </c>
      <c r="H24" s="26" t="s">
        <v>107</v>
      </c>
      <c r="I24" s="25" t="s">
        <v>108</v>
      </c>
      <c r="J24" s="5">
        <f t="shared" si="0"/>
        <v>420477.29879999999</v>
      </c>
      <c r="K24" s="21">
        <v>0</v>
      </c>
      <c r="L24" s="21">
        <v>362480.43</v>
      </c>
      <c r="M24" s="17">
        <v>16</v>
      </c>
      <c r="N24" s="5">
        <f t="shared" si="2"/>
        <v>57996.868799999997</v>
      </c>
    </row>
    <row r="25" spans="1:15" ht="12" customHeight="1" x14ac:dyDescent="0.2">
      <c r="A25" s="22">
        <v>46164</v>
      </c>
      <c r="B25" s="23">
        <v>1</v>
      </c>
      <c r="C25" s="27">
        <v>6016</v>
      </c>
      <c r="D25" s="27">
        <v>6016</v>
      </c>
      <c r="E25" s="28">
        <v>0</v>
      </c>
      <c r="F25" s="28">
        <v>0</v>
      </c>
      <c r="G25" s="28">
        <v>0</v>
      </c>
      <c r="H25" s="26" t="s">
        <v>98</v>
      </c>
      <c r="I25" s="25" t="s">
        <v>99</v>
      </c>
      <c r="J25" s="5">
        <f t="shared" si="0"/>
        <v>14257.096000000001</v>
      </c>
      <c r="K25" s="21">
        <v>0</v>
      </c>
      <c r="L25" s="21">
        <v>12290.6</v>
      </c>
      <c r="M25" s="17">
        <v>16</v>
      </c>
      <c r="N25" s="5">
        <f t="shared" si="2"/>
        <v>1966.4960000000001</v>
      </c>
    </row>
    <row r="26" spans="1:15" ht="12" customHeight="1" x14ac:dyDescent="0.2">
      <c r="A26" s="22">
        <v>46165</v>
      </c>
      <c r="B26" s="23">
        <v>1</v>
      </c>
      <c r="C26" s="27">
        <v>20133</v>
      </c>
      <c r="D26" s="25" t="s">
        <v>62</v>
      </c>
      <c r="E26" s="21">
        <v>0</v>
      </c>
      <c r="F26" s="21">
        <v>0</v>
      </c>
      <c r="G26" s="21">
        <v>0</v>
      </c>
      <c r="H26" s="26" t="s">
        <v>63</v>
      </c>
      <c r="I26" s="25" t="s">
        <v>64</v>
      </c>
      <c r="J26" s="5">
        <f t="shared" si="0"/>
        <v>10702.936400000001</v>
      </c>
      <c r="K26" s="21">
        <v>7421.83</v>
      </c>
      <c r="L26" s="21">
        <v>2828.54</v>
      </c>
      <c r="M26" s="17">
        <v>16</v>
      </c>
      <c r="N26" s="5">
        <f t="shared" si="2"/>
        <v>452.56639999999999</v>
      </c>
    </row>
    <row r="27" spans="1:15" ht="12" customHeight="1" x14ac:dyDescent="0.2">
      <c r="A27" s="22">
        <v>46167</v>
      </c>
      <c r="B27" s="23">
        <v>1</v>
      </c>
      <c r="C27" s="27">
        <v>51645</v>
      </c>
      <c r="D27" s="25" t="s">
        <v>68</v>
      </c>
      <c r="E27" s="21">
        <v>0</v>
      </c>
      <c r="F27" s="21">
        <v>0</v>
      </c>
      <c r="G27" s="21">
        <v>0</v>
      </c>
      <c r="H27" s="26" t="s">
        <v>69</v>
      </c>
      <c r="I27" s="25" t="s">
        <v>70</v>
      </c>
      <c r="J27" s="5">
        <f t="shared" si="0"/>
        <v>17030.493599999998</v>
      </c>
      <c r="K27" s="21">
        <v>0</v>
      </c>
      <c r="L27" s="21">
        <v>14681.46</v>
      </c>
      <c r="M27" s="17">
        <v>16</v>
      </c>
      <c r="N27" s="5">
        <f t="shared" si="2"/>
        <v>2349.0335999999998</v>
      </c>
    </row>
    <row r="28" spans="1:15" ht="12" customHeight="1" x14ac:dyDescent="0.2">
      <c r="A28" s="22">
        <v>46167</v>
      </c>
      <c r="B28" s="23">
        <v>1</v>
      </c>
      <c r="C28" s="45">
        <v>1</v>
      </c>
      <c r="D28" s="25" t="s">
        <v>120</v>
      </c>
      <c r="E28" s="21">
        <v>0</v>
      </c>
      <c r="F28" s="21">
        <v>0</v>
      </c>
      <c r="G28" s="21">
        <v>0</v>
      </c>
      <c r="H28" s="26" t="s">
        <v>121</v>
      </c>
      <c r="I28" s="25" t="s">
        <v>122</v>
      </c>
      <c r="J28" s="5">
        <f t="shared" si="0"/>
        <v>274654.19759999996</v>
      </c>
      <c r="K28" s="21">
        <v>0</v>
      </c>
      <c r="L28" s="21">
        <v>236770.86</v>
      </c>
      <c r="M28" s="17">
        <v>16</v>
      </c>
      <c r="N28" s="5">
        <f t="shared" ref="N28:N33" si="3">L28*16/100</f>
        <v>37883.337599999999</v>
      </c>
    </row>
    <row r="29" spans="1:15" ht="12" customHeight="1" x14ac:dyDescent="0.2">
      <c r="A29" s="22">
        <v>46168</v>
      </c>
      <c r="B29" s="23">
        <v>1</v>
      </c>
      <c r="C29" s="44">
        <v>158</v>
      </c>
      <c r="D29" s="25" t="s">
        <v>123</v>
      </c>
      <c r="E29" s="21"/>
      <c r="F29" s="21"/>
      <c r="G29" s="21"/>
      <c r="H29" s="26" t="s">
        <v>124</v>
      </c>
      <c r="I29" s="25" t="s">
        <v>125</v>
      </c>
      <c r="J29" s="5">
        <f t="shared" si="0"/>
        <v>195273.878</v>
      </c>
      <c r="K29" s="21">
        <v>0</v>
      </c>
      <c r="L29" s="21">
        <v>168339.55</v>
      </c>
      <c r="M29" s="17">
        <v>16</v>
      </c>
      <c r="N29" s="5">
        <f t="shared" si="3"/>
        <v>26934.327999999998</v>
      </c>
    </row>
    <row r="30" spans="1:15" ht="12" customHeight="1" x14ac:dyDescent="0.2">
      <c r="A30" s="22">
        <v>46168</v>
      </c>
      <c r="B30" s="23">
        <v>1</v>
      </c>
      <c r="C30" s="44">
        <v>446</v>
      </c>
      <c r="D30" s="25" t="s">
        <v>109</v>
      </c>
      <c r="E30" s="21"/>
      <c r="F30" s="21"/>
      <c r="G30" s="21"/>
      <c r="H30" s="26" t="s">
        <v>110</v>
      </c>
      <c r="I30" s="25" t="s">
        <v>111</v>
      </c>
      <c r="J30" s="5">
        <f t="shared" si="0"/>
        <v>65092.031199999998</v>
      </c>
      <c r="K30" s="21">
        <v>0</v>
      </c>
      <c r="L30" s="21">
        <v>56113.82</v>
      </c>
      <c r="M30" s="17">
        <v>16</v>
      </c>
      <c r="N30" s="5">
        <f t="shared" si="3"/>
        <v>8978.2111999999997</v>
      </c>
    </row>
    <row r="31" spans="1:15" ht="12" customHeight="1" x14ac:dyDescent="0.2">
      <c r="A31" s="22">
        <v>46168</v>
      </c>
      <c r="B31" s="23">
        <v>1</v>
      </c>
      <c r="C31" s="43">
        <v>54889</v>
      </c>
      <c r="D31" s="25" t="s">
        <v>68</v>
      </c>
      <c r="E31" s="21"/>
      <c r="F31" s="21"/>
      <c r="G31" s="21"/>
      <c r="H31" s="26" t="s">
        <v>69</v>
      </c>
      <c r="I31" s="25" t="s">
        <v>70</v>
      </c>
      <c r="J31" s="5">
        <f t="shared" si="0"/>
        <v>9904.5324000000001</v>
      </c>
      <c r="K31" s="21">
        <v>0</v>
      </c>
      <c r="L31" s="21">
        <v>8538.39</v>
      </c>
      <c r="M31" s="17">
        <v>16</v>
      </c>
      <c r="N31" s="5">
        <f t="shared" si="3"/>
        <v>1366.1424</v>
      </c>
    </row>
    <row r="32" spans="1:15" s="56" customFormat="1" ht="12" customHeight="1" x14ac:dyDescent="0.2">
      <c r="A32" s="46">
        <v>46168</v>
      </c>
      <c r="B32" s="47">
        <v>1</v>
      </c>
      <c r="C32" s="48">
        <v>0</v>
      </c>
      <c r="D32" s="48">
        <v>0</v>
      </c>
      <c r="E32" s="49">
        <v>0</v>
      </c>
      <c r="F32" s="50">
        <v>331</v>
      </c>
      <c r="G32" s="51">
        <v>446</v>
      </c>
      <c r="H32" s="52" t="s">
        <v>110</v>
      </c>
      <c r="I32" s="53" t="s">
        <v>111</v>
      </c>
      <c r="J32" s="5">
        <f t="shared" si="0"/>
        <v>-4283.0796</v>
      </c>
      <c r="K32" s="49">
        <v>0</v>
      </c>
      <c r="L32" s="49">
        <v>-3692.31</v>
      </c>
      <c r="M32" s="55">
        <v>16</v>
      </c>
      <c r="N32" s="54">
        <f>L32*16/100</f>
        <v>-590.76959999999997</v>
      </c>
      <c r="O32" s="1"/>
    </row>
    <row r="33" spans="1:14" ht="12" customHeight="1" x14ac:dyDescent="0.2">
      <c r="A33" s="22">
        <v>46169</v>
      </c>
      <c r="B33" s="23">
        <v>1</v>
      </c>
      <c r="C33" s="43">
        <v>6024</v>
      </c>
      <c r="D33" s="27">
        <v>6024</v>
      </c>
      <c r="E33" s="21"/>
      <c r="F33" s="21"/>
      <c r="G33" s="21"/>
      <c r="H33" s="26" t="s">
        <v>98</v>
      </c>
      <c r="I33" s="25" t="s">
        <v>99</v>
      </c>
      <c r="J33" s="5">
        <f t="shared" si="0"/>
        <v>16055.153999999999</v>
      </c>
      <c r="K33" s="21">
        <v>0</v>
      </c>
      <c r="L33" s="21">
        <v>13840.65</v>
      </c>
      <c r="M33" s="17">
        <v>16</v>
      </c>
      <c r="N33" s="5">
        <f t="shared" si="3"/>
        <v>2214.5039999999999</v>
      </c>
    </row>
    <row r="34" spans="1:14" ht="12" customHeight="1" x14ac:dyDescent="0.2">
      <c r="A34" s="22">
        <v>46169</v>
      </c>
      <c r="B34" s="23">
        <v>1</v>
      </c>
      <c r="C34" s="44">
        <v>2284</v>
      </c>
      <c r="D34" s="29">
        <v>2284</v>
      </c>
      <c r="E34" s="21">
        <v>0</v>
      </c>
      <c r="F34" s="21">
        <v>0</v>
      </c>
      <c r="G34" s="21">
        <v>0</v>
      </c>
      <c r="H34" s="26" t="s">
        <v>112</v>
      </c>
      <c r="I34" s="25" t="s">
        <v>113</v>
      </c>
      <c r="J34" s="5">
        <f t="shared" si="0"/>
        <v>280300.08</v>
      </c>
      <c r="K34" s="21">
        <v>0</v>
      </c>
      <c r="L34" s="21">
        <v>241638</v>
      </c>
      <c r="M34" s="17">
        <v>16</v>
      </c>
      <c r="N34" s="5">
        <f t="shared" si="2"/>
        <v>38662.080000000002</v>
      </c>
    </row>
    <row r="35" spans="1:14" ht="12" customHeight="1" x14ac:dyDescent="0.2">
      <c r="A35" s="22">
        <v>46169</v>
      </c>
      <c r="B35" s="23">
        <v>1</v>
      </c>
      <c r="C35" s="43">
        <v>20315</v>
      </c>
      <c r="D35" s="25" t="s">
        <v>62</v>
      </c>
      <c r="E35" s="21">
        <v>0</v>
      </c>
      <c r="F35" s="21">
        <v>0</v>
      </c>
      <c r="G35" s="21">
        <v>0</v>
      </c>
      <c r="H35" s="26" t="s">
        <v>63</v>
      </c>
      <c r="I35" s="25" t="s">
        <v>64</v>
      </c>
      <c r="J35" s="5">
        <f t="shared" si="0"/>
        <v>4957.5731999999998</v>
      </c>
      <c r="K35" s="21">
        <v>3229.44</v>
      </c>
      <c r="L35" s="21">
        <v>1489.77</v>
      </c>
      <c r="M35" s="17">
        <v>16</v>
      </c>
      <c r="N35" s="5">
        <f t="shared" si="2"/>
        <v>238.36320000000001</v>
      </c>
    </row>
    <row r="36" spans="1:14" ht="12" customHeight="1" x14ac:dyDescent="0.2">
      <c r="A36" s="22">
        <v>46171</v>
      </c>
      <c r="B36" s="23">
        <v>1</v>
      </c>
      <c r="C36" s="43">
        <v>89388</v>
      </c>
      <c r="D36" s="25" t="s">
        <v>114</v>
      </c>
      <c r="E36" s="21">
        <v>0</v>
      </c>
      <c r="F36" s="21">
        <v>0</v>
      </c>
      <c r="G36" s="21">
        <v>0</v>
      </c>
      <c r="H36" s="26" t="s">
        <v>115</v>
      </c>
      <c r="I36" s="25" t="s">
        <v>116</v>
      </c>
      <c r="J36" s="5">
        <f t="shared" si="0"/>
        <v>13185.1052</v>
      </c>
      <c r="K36" s="21">
        <v>0</v>
      </c>
      <c r="L36" s="21">
        <v>11366.47</v>
      </c>
      <c r="M36" s="17">
        <v>16</v>
      </c>
      <c r="N36" s="5">
        <f t="shared" si="2"/>
        <v>1818.6351999999999</v>
      </c>
    </row>
    <row r="37" spans="1:14" ht="12" customHeight="1" x14ac:dyDescent="0.2">
      <c r="A37" s="22">
        <v>46172</v>
      </c>
      <c r="B37" s="23">
        <v>1</v>
      </c>
      <c r="C37" s="43">
        <v>83903</v>
      </c>
      <c r="D37" s="25" t="s">
        <v>117</v>
      </c>
      <c r="E37" s="21">
        <v>0</v>
      </c>
      <c r="F37" s="21">
        <v>0</v>
      </c>
      <c r="G37" s="21">
        <v>0</v>
      </c>
      <c r="H37" s="26" t="s">
        <v>118</v>
      </c>
      <c r="I37" s="25" t="s">
        <v>119</v>
      </c>
      <c r="J37" s="5">
        <f t="shared" si="0"/>
        <v>14082.2492</v>
      </c>
      <c r="K37" s="21">
        <v>0</v>
      </c>
      <c r="L37" s="21">
        <v>12139.87</v>
      </c>
      <c r="M37" s="17">
        <v>16</v>
      </c>
      <c r="N37" s="5">
        <f t="shared" si="2"/>
        <v>1942.3792000000001</v>
      </c>
    </row>
    <row r="38" spans="1:14" ht="12" customHeight="1" x14ac:dyDescent="0.2">
      <c r="A38" s="22">
        <v>46172</v>
      </c>
      <c r="B38" s="23">
        <v>1</v>
      </c>
      <c r="C38" s="43">
        <v>10692</v>
      </c>
      <c r="D38" s="25" t="s">
        <v>92</v>
      </c>
      <c r="E38" s="21">
        <v>0</v>
      </c>
      <c r="F38" s="21">
        <v>0</v>
      </c>
      <c r="G38" s="21">
        <v>0</v>
      </c>
      <c r="H38" s="26" t="s">
        <v>93</v>
      </c>
      <c r="I38" s="25" t="s">
        <v>94</v>
      </c>
      <c r="J38" s="5">
        <f t="shared" si="0"/>
        <v>59877.9588</v>
      </c>
      <c r="K38" s="21">
        <v>0</v>
      </c>
      <c r="L38" s="21">
        <v>51618.93</v>
      </c>
      <c r="M38" s="17">
        <v>16</v>
      </c>
      <c r="N38" s="5">
        <f t="shared" si="2"/>
        <v>8259.0288</v>
      </c>
    </row>
    <row r="39" spans="1:14" ht="12" customHeight="1" x14ac:dyDescent="0.2">
      <c r="A39" s="22">
        <v>46173</v>
      </c>
      <c r="B39" s="23">
        <v>1</v>
      </c>
      <c r="C39" s="43">
        <v>55689</v>
      </c>
      <c r="D39" s="25" t="s">
        <v>68</v>
      </c>
      <c r="E39" s="21">
        <v>0</v>
      </c>
      <c r="F39" s="21">
        <v>0</v>
      </c>
      <c r="G39" s="21">
        <v>0</v>
      </c>
      <c r="H39" s="26" t="s">
        <v>69</v>
      </c>
      <c r="I39" s="25" t="s">
        <v>70</v>
      </c>
      <c r="J39" s="5">
        <f t="shared" si="0"/>
        <v>13306.0816</v>
      </c>
      <c r="K39" s="21">
        <v>0</v>
      </c>
      <c r="L39" s="21">
        <v>11470.76</v>
      </c>
      <c r="M39" s="17">
        <v>16</v>
      </c>
      <c r="N39" s="5">
        <f t="shared" si="2"/>
        <v>1835.3216</v>
      </c>
    </row>
    <row r="40" spans="1:14" ht="12" customHeight="1" x14ac:dyDescent="0.2">
      <c r="A40" s="22">
        <v>46168</v>
      </c>
      <c r="B40" s="23">
        <v>1</v>
      </c>
      <c r="C40" s="43">
        <v>7</v>
      </c>
      <c r="D40" s="25" t="s">
        <v>126</v>
      </c>
      <c r="E40" s="21">
        <v>0</v>
      </c>
      <c r="F40" s="21">
        <v>0</v>
      </c>
      <c r="G40" s="21">
        <v>0</v>
      </c>
      <c r="H40" s="26" t="s">
        <v>127</v>
      </c>
      <c r="I40" s="25" t="s">
        <v>128</v>
      </c>
      <c r="J40" s="5">
        <f t="shared" si="0"/>
        <v>96050.32</v>
      </c>
      <c r="K40" s="21">
        <v>0</v>
      </c>
      <c r="L40" s="21">
        <v>82802</v>
      </c>
      <c r="M40" s="17">
        <v>16</v>
      </c>
      <c r="N40" s="5">
        <f t="shared" ref="N40:N42" si="4">L40*16/100</f>
        <v>13248.32</v>
      </c>
    </row>
    <row r="41" spans="1:14" ht="12" customHeight="1" x14ac:dyDescent="0.2">
      <c r="A41" s="22">
        <v>46171</v>
      </c>
      <c r="B41" s="23">
        <v>1</v>
      </c>
      <c r="C41" s="43">
        <v>8</v>
      </c>
      <c r="D41" s="25" t="s">
        <v>129</v>
      </c>
      <c r="E41" s="21">
        <v>0</v>
      </c>
      <c r="F41" s="21">
        <v>0</v>
      </c>
      <c r="G41" s="21">
        <v>0</v>
      </c>
      <c r="H41" s="26" t="s">
        <v>127</v>
      </c>
      <c r="I41" s="25" t="s">
        <v>128</v>
      </c>
      <c r="J41" s="5">
        <f t="shared" si="0"/>
        <v>383199.28360000002</v>
      </c>
      <c r="K41" s="21">
        <v>0</v>
      </c>
      <c r="L41" s="21">
        <v>330344.21000000002</v>
      </c>
      <c r="M41" s="17">
        <v>16</v>
      </c>
      <c r="N41" s="5">
        <f t="shared" si="4"/>
        <v>52855.073600000003</v>
      </c>
    </row>
    <row r="42" spans="1:14" ht="12" customHeight="1" x14ac:dyDescent="0.2">
      <c r="A42" s="22">
        <v>46170</v>
      </c>
      <c r="B42" s="23">
        <v>1</v>
      </c>
      <c r="C42" s="43">
        <v>3718</v>
      </c>
      <c r="D42" s="25" t="s">
        <v>106</v>
      </c>
      <c r="E42" s="21">
        <v>0</v>
      </c>
      <c r="F42" s="21">
        <v>0</v>
      </c>
      <c r="G42" s="21">
        <v>0</v>
      </c>
      <c r="H42" s="26" t="s">
        <v>107</v>
      </c>
      <c r="I42" s="25" t="s">
        <v>108</v>
      </c>
      <c r="J42" s="5">
        <f t="shared" si="0"/>
        <v>27226.789199999999</v>
      </c>
      <c r="K42" s="21">
        <v>0</v>
      </c>
      <c r="L42" s="21">
        <v>23471.37</v>
      </c>
      <c r="M42" s="17">
        <v>16</v>
      </c>
      <c r="N42" s="5">
        <f t="shared" si="4"/>
        <v>3755.4191999999998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0B431-5E53-42DD-BC92-C96BA1D50306}">
  <dimension ref="A2:S89"/>
  <sheetViews>
    <sheetView tabSelected="1" topLeftCell="G4" zoomScale="80" zoomScaleNormal="80" workbookViewId="0">
      <pane ySplit="13" topLeftCell="A69" activePane="bottomLeft" state="frozen"/>
      <selection activeCell="F4" sqref="F4"/>
      <selection pane="bottomLeft" activeCell="N79" sqref="N79"/>
    </sheetView>
  </sheetViews>
  <sheetFormatPr baseColWidth="10" defaultRowHeight="11.25" x14ac:dyDescent="0.2"/>
  <cols>
    <col min="1" max="1" width="14.28515625" style="1" bestFit="1" customWidth="1"/>
    <col min="2" max="3" width="12.85546875" style="1" customWidth="1"/>
    <col min="4" max="7" width="11.42578125" style="1"/>
    <col min="8" max="8" width="52.28515625" style="1" bestFit="1" customWidth="1"/>
    <col min="9" max="9" width="11.42578125" style="2"/>
    <col min="10" max="11" width="11.42578125" style="1"/>
    <col min="12" max="17" width="13.28515625" style="1" customWidth="1"/>
    <col min="18" max="18" width="19.28515625" style="1" customWidth="1"/>
    <col min="19" max="19" width="22.42578125" style="1" customWidth="1"/>
    <col min="20" max="20" width="11.42578125" style="1" customWidth="1"/>
    <col min="21" max="16384" width="11.42578125" style="1"/>
  </cols>
  <sheetData>
    <row r="2" spans="1:19" ht="12.75" x14ac:dyDescent="0.2">
      <c r="A2" s="18" t="s">
        <v>50</v>
      </c>
      <c r="B2" s="83" t="s">
        <v>51</v>
      </c>
      <c r="C2" s="83"/>
      <c r="D2" s="83"/>
      <c r="E2" s="83"/>
      <c r="F2" s="83"/>
      <c r="G2" s="83"/>
      <c r="H2" s="83"/>
      <c r="I2" s="83"/>
      <c r="J2" s="84"/>
    </row>
    <row r="3" spans="1:19" ht="12.75" x14ac:dyDescent="0.2">
      <c r="A3" s="19" t="s">
        <v>49</v>
      </c>
      <c r="B3" s="81" t="s">
        <v>52</v>
      </c>
      <c r="C3" s="81"/>
      <c r="D3" s="81"/>
      <c r="E3" s="81"/>
      <c r="F3" s="81"/>
      <c r="G3" s="81"/>
      <c r="H3" s="81"/>
      <c r="I3" s="81"/>
      <c r="J3" s="82"/>
    </row>
    <row r="4" spans="1:19" ht="12.75" x14ac:dyDescent="0.2">
      <c r="A4" s="19"/>
      <c r="B4" s="42"/>
      <c r="C4" s="42"/>
      <c r="D4" s="42"/>
      <c r="E4" s="42"/>
      <c r="F4" s="42"/>
      <c r="G4" s="42"/>
      <c r="H4" s="42"/>
      <c r="I4" s="42"/>
      <c r="J4" s="42"/>
      <c r="K4" s="60"/>
    </row>
    <row r="5" spans="1:19" ht="12.75" x14ac:dyDescent="0.2">
      <c r="A5" s="19"/>
      <c r="B5" s="42"/>
      <c r="C5" s="42"/>
      <c r="D5" s="42"/>
      <c r="E5" s="42"/>
      <c r="F5" s="42"/>
      <c r="G5" s="42"/>
      <c r="H5" s="42"/>
      <c r="I5" s="42"/>
      <c r="J5" s="42"/>
      <c r="K5" s="60"/>
    </row>
    <row r="6" spans="1:19" x14ac:dyDescent="0.2">
      <c r="A6" s="58" t="s">
        <v>50</v>
      </c>
      <c r="B6" s="89" t="s">
        <v>51</v>
      </c>
      <c r="C6" s="89"/>
      <c r="D6" s="89"/>
      <c r="E6" s="89"/>
      <c r="F6" s="89"/>
      <c r="G6" s="89"/>
      <c r="H6" s="61"/>
      <c r="I6" s="61"/>
      <c r="J6" s="62"/>
    </row>
    <row r="7" spans="1:19" x14ac:dyDescent="0.2">
      <c r="A7" s="59" t="s">
        <v>49</v>
      </c>
      <c r="B7" s="85" t="s">
        <v>52</v>
      </c>
      <c r="C7" s="85"/>
      <c r="D7" s="85"/>
      <c r="E7" s="85"/>
      <c r="F7" s="85"/>
      <c r="G7" s="85"/>
      <c r="H7" s="63"/>
      <c r="I7" s="63"/>
      <c r="J7" s="64"/>
    </row>
    <row r="8" spans="1:19" ht="31.5" customHeight="1" x14ac:dyDescent="0.2">
      <c r="A8" s="66" t="s">
        <v>33</v>
      </c>
      <c r="B8" s="79" t="s">
        <v>54</v>
      </c>
      <c r="C8" s="79"/>
      <c r="D8" s="79"/>
      <c r="E8" s="79"/>
      <c r="F8" s="79"/>
      <c r="G8" s="79"/>
      <c r="H8" s="79"/>
      <c r="I8" s="79"/>
      <c r="J8" s="80"/>
    </row>
    <row r="9" spans="1:19" x14ac:dyDescent="0.2">
      <c r="A9" s="65" t="s">
        <v>34</v>
      </c>
      <c r="B9" s="67"/>
      <c r="C9" s="67"/>
      <c r="D9" s="67"/>
      <c r="E9" s="67"/>
      <c r="F9" s="67"/>
      <c r="G9" s="67"/>
      <c r="H9" s="67"/>
      <c r="I9" s="67"/>
      <c r="J9" s="68"/>
    </row>
    <row r="10" spans="1:19" x14ac:dyDescent="0.2">
      <c r="A10" s="65" t="s">
        <v>53</v>
      </c>
      <c r="B10" s="85">
        <v>202605</v>
      </c>
      <c r="C10" s="85"/>
      <c r="D10" s="85"/>
      <c r="E10" s="85"/>
      <c r="F10" s="85"/>
      <c r="G10" s="85"/>
      <c r="H10" s="85"/>
      <c r="I10" s="85"/>
      <c r="J10" s="86"/>
    </row>
    <row r="11" spans="1:19" x14ac:dyDescent="0.2">
      <c r="A11" s="69" t="s">
        <v>0</v>
      </c>
      <c r="B11" s="87">
        <v>46173</v>
      </c>
      <c r="C11" s="87"/>
      <c r="D11" s="87"/>
      <c r="E11" s="87"/>
      <c r="F11" s="87"/>
      <c r="G11" s="87"/>
      <c r="H11" s="87"/>
      <c r="I11" s="87"/>
      <c r="J11" s="88"/>
    </row>
    <row r="15" spans="1:19" x14ac:dyDescent="0.2">
      <c r="L15" s="70" t="s">
        <v>36</v>
      </c>
      <c r="M15" s="71"/>
      <c r="N15" s="70" t="s">
        <v>37</v>
      </c>
      <c r="O15" s="71"/>
      <c r="P15" s="70" t="s">
        <v>38</v>
      </c>
      <c r="Q15" s="71"/>
      <c r="R15" s="70" t="s">
        <v>40</v>
      </c>
      <c r="S15" s="71"/>
    </row>
    <row r="16" spans="1:19" s="3" customFormat="1" ht="35.25" customHeight="1" thickBot="1" x14ac:dyDescent="0.3">
      <c r="A16" s="6" t="s">
        <v>35</v>
      </c>
      <c r="B16" s="6" t="s">
        <v>1</v>
      </c>
      <c r="C16" s="32" t="s">
        <v>2</v>
      </c>
      <c r="D16" s="32" t="s">
        <v>3</v>
      </c>
      <c r="E16" s="38" t="s">
        <v>56</v>
      </c>
      <c r="F16" s="38" t="s">
        <v>57</v>
      </c>
      <c r="G16" s="38" t="s">
        <v>58</v>
      </c>
      <c r="H16" s="32" t="s">
        <v>4</v>
      </c>
      <c r="I16" s="32" t="s">
        <v>5</v>
      </c>
      <c r="J16" s="32" t="s">
        <v>6</v>
      </c>
      <c r="K16" s="32" t="s">
        <v>7</v>
      </c>
      <c r="L16" s="32" t="s">
        <v>8</v>
      </c>
      <c r="M16" s="32" t="s">
        <v>39</v>
      </c>
      <c r="N16" s="32" t="s">
        <v>8</v>
      </c>
      <c r="O16" s="32" t="s">
        <v>39</v>
      </c>
      <c r="P16" s="32" t="s">
        <v>8</v>
      </c>
      <c r="Q16" s="32" t="s">
        <v>39</v>
      </c>
      <c r="R16" s="32" t="s">
        <v>41</v>
      </c>
      <c r="S16" s="39">
        <v>0.75</v>
      </c>
    </row>
    <row r="17" spans="1:19" x14ac:dyDescent="0.2">
      <c r="A17" s="22">
        <f>Data!A2</f>
        <v>46147</v>
      </c>
      <c r="B17" s="23">
        <f>Data!B2</f>
        <v>1</v>
      </c>
      <c r="C17" s="34">
        <f>Data!C2</f>
        <v>10765</v>
      </c>
      <c r="D17" s="35" t="str">
        <f>Data!D2</f>
        <v>00-009265</v>
      </c>
      <c r="E17" s="36">
        <f>Data!E2</f>
        <v>0</v>
      </c>
      <c r="F17" s="36">
        <f>Data!F2</f>
        <v>0</v>
      </c>
      <c r="G17" s="36">
        <f>Data!G2</f>
        <v>0</v>
      </c>
      <c r="H17" s="37" t="str">
        <f>Data!H2</f>
        <v>DISTRIBUIDORA FREPARTES C.A.</v>
      </c>
      <c r="I17" s="35" t="str">
        <f>Data!I2</f>
        <v>J313445320</v>
      </c>
      <c r="J17" s="31">
        <f>K17+L17+M17+N17+O17+P17+Q17</f>
        <v>5798.3760000000002</v>
      </c>
      <c r="K17" s="31">
        <f>Data!K2</f>
        <v>0</v>
      </c>
      <c r="L17" s="31">
        <f>Data!L2</f>
        <v>4998.6000000000004</v>
      </c>
      <c r="M17" s="31">
        <f>L17*16/100</f>
        <v>799.77600000000007</v>
      </c>
      <c r="N17" s="31">
        <v>0</v>
      </c>
      <c r="O17" s="31">
        <f>N17*16/100</f>
        <v>0</v>
      </c>
      <c r="P17" s="31">
        <v>0</v>
      </c>
      <c r="Q17" s="31">
        <f>P17*8/100</f>
        <v>0</v>
      </c>
      <c r="R17" s="31"/>
      <c r="S17" s="33">
        <v>0</v>
      </c>
    </row>
    <row r="18" spans="1:19" x14ac:dyDescent="0.2">
      <c r="A18" s="22">
        <f>Data!A3</f>
        <v>46147</v>
      </c>
      <c r="B18" s="23">
        <f>Data!B3</f>
        <v>1</v>
      </c>
      <c r="C18" s="34">
        <f>Data!C3</f>
        <v>19075</v>
      </c>
      <c r="D18" s="35" t="str">
        <f>Data!D3</f>
        <v>ZZP0018130</v>
      </c>
      <c r="E18" s="36">
        <f>Data!E3</f>
        <v>0</v>
      </c>
      <c r="F18" s="36">
        <f>Data!F3</f>
        <v>0</v>
      </c>
      <c r="G18" s="36">
        <f>Data!G3</f>
        <v>0</v>
      </c>
      <c r="H18" s="37" t="str">
        <f>Data!H3</f>
        <v>PANADERIA, PASTELERIA Y DELICATESES AVINTES, C.A.</v>
      </c>
      <c r="I18" s="35" t="str">
        <f>Data!I3</f>
        <v>J502708405</v>
      </c>
      <c r="J18" s="31">
        <f t="shared" ref="J18:J57" si="0">K18+L18+M18+N18+O18+P18+Q18</f>
        <v>8916.3780000000006</v>
      </c>
      <c r="K18" s="31">
        <f>Data!K3</f>
        <v>4900.3999999999996</v>
      </c>
      <c r="L18" s="31">
        <f>Data!L3</f>
        <v>3462.05</v>
      </c>
      <c r="M18" s="31">
        <f t="shared" ref="M18:M57" si="1">L18*16/100</f>
        <v>553.928</v>
      </c>
      <c r="N18" s="31">
        <v>0</v>
      </c>
      <c r="O18" s="31">
        <f t="shared" ref="O18:O52" si="2">N18*16/100</f>
        <v>0</v>
      </c>
      <c r="P18" s="31">
        <v>0</v>
      </c>
      <c r="Q18" s="31">
        <f t="shared" ref="Q18:Q52" si="3">P18*8/100</f>
        <v>0</v>
      </c>
      <c r="R18" s="31"/>
      <c r="S18" s="33">
        <v>0</v>
      </c>
    </row>
    <row r="19" spans="1:19" x14ac:dyDescent="0.2">
      <c r="A19" s="22">
        <f>Data!A4</f>
        <v>46150</v>
      </c>
      <c r="B19" s="23">
        <f>Data!B4</f>
        <v>1</v>
      </c>
      <c r="C19" s="34">
        <f>Data!C4</f>
        <v>35829</v>
      </c>
      <c r="D19" s="35" t="str">
        <f>Data!D4</f>
        <v>E000000230</v>
      </c>
      <c r="E19" s="36">
        <f>Data!E4</f>
        <v>0</v>
      </c>
      <c r="F19" s="36">
        <f>Data!F4</f>
        <v>0</v>
      </c>
      <c r="G19" s="36">
        <f>Data!G4</f>
        <v>0</v>
      </c>
      <c r="H19" s="37" t="str">
        <f>Data!H4</f>
        <v>REPUESTOS YOGERES 06, C.A.</v>
      </c>
      <c r="I19" s="35" t="str">
        <f>Data!I4</f>
        <v>J500732023</v>
      </c>
      <c r="J19" s="31">
        <f t="shared" si="0"/>
        <v>9997.2048000000013</v>
      </c>
      <c r="K19" s="31">
        <f>Data!K4</f>
        <v>0</v>
      </c>
      <c r="L19" s="31">
        <f>Data!L4</f>
        <v>8618.2800000000007</v>
      </c>
      <c r="M19" s="31">
        <f t="shared" si="1"/>
        <v>1378.9248</v>
      </c>
      <c r="N19" s="31">
        <v>0</v>
      </c>
      <c r="O19" s="31">
        <f t="shared" si="2"/>
        <v>0</v>
      </c>
      <c r="P19" s="31">
        <v>0</v>
      </c>
      <c r="Q19" s="31">
        <f t="shared" si="3"/>
        <v>0</v>
      </c>
      <c r="R19" s="31"/>
      <c r="S19" s="33">
        <v>0</v>
      </c>
    </row>
    <row r="20" spans="1:19" x14ac:dyDescent="0.2">
      <c r="A20" s="22">
        <f>Data!A5</f>
        <v>46150</v>
      </c>
      <c r="B20" s="23">
        <f>Data!B5</f>
        <v>1</v>
      </c>
      <c r="C20" s="34">
        <f>Data!C5</f>
        <v>51789</v>
      </c>
      <c r="D20" s="35" t="str">
        <f>Data!D5</f>
        <v>Z7C7038186</v>
      </c>
      <c r="E20" s="36">
        <f>Data!E5</f>
        <v>0</v>
      </c>
      <c r="F20" s="36">
        <f>Data!F5</f>
        <v>0</v>
      </c>
      <c r="G20" s="36">
        <f>Data!G5</f>
        <v>0</v>
      </c>
      <c r="H20" s="37" t="str">
        <f>Data!H5</f>
        <v>PROMOTORA METROPOLITANA, DE RESTAURANTES 25, C.A.</v>
      </c>
      <c r="I20" s="35" t="str">
        <f>Data!I5</f>
        <v>J311359036</v>
      </c>
      <c r="J20" s="31">
        <f t="shared" si="0"/>
        <v>8997.482</v>
      </c>
      <c r="K20" s="31">
        <f>Data!K5</f>
        <v>0</v>
      </c>
      <c r="L20" s="31">
        <f>Data!L5</f>
        <v>7756.45</v>
      </c>
      <c r="M20" s="31">
        <f t="shared" si="1"/>
        <v>1241.0319999999999</v>
      </c>
      <c r="N20" s="31">
        <v>0</v>
      </c>
      <c r="O20" s="31">
        <f t="shared" si="2"/>
        <v>0</v>
      </c>
      <c r="P20" s="31">
        <v>0</v>
      </c>
      <c r="Q20" s="31">
        <f t="shared" si="3"/>
        <v>0</v>
      </c>
      <c r="R20" s="31"/>
      <c r="S20" s="33">
        <v>0</v>
      </c>
    </row>
    <row r="21" spans="1:19" x14ac:dyDescent="0.2">
      <c r="A21" s="22">
        <f>Data!A6</f>
        <v>46150</v>
      </c>
      <c r="B21" s="23">
        <f>Data!B6</f>
        <v>1</v>
      </c>
      <c r="C21" s="34">
        <f>Data!C6</f>
        <v>36085</v>
      </c>
      <c r="D21" s="35" t="str">
        <f>Data!D6</f>
        <v>Z7C7022224</v>
      </c>
      <c r="E21" s="36">
        <f>Data!E6</f>
        <v>0</v>
      </c>
      <c r="F21" s="36">
        <f>Data!F6</f>
        <v>0</v>
      </c>
      <c r="G21" s="36">
        <f>Data!G6</f>
        <v>0</v>
      </c>
      <c r="H21" s="37" t="str">
        <f>Data!H6</f>
        <v>Grupo Canel, C.A.</v>
      </c>
      <c r="I21" s="35" t="str">
        <f>Data!I6</f>
        <v>J409416860</v>
      </c>
      <c r="J21" s="31">
        <f t="shared" si="0"/>
        <v>4528.3732</v>
      </c>
      <c r="K21" s="31">
        <f>Data!K6</f>
        <v>0</v>
      </c>
      <c r="L21" s="31">
        <f>Data!L6</f>
        <v>3903.77</v>
      </c>
      <c r="M21" s="31">
        <f t="shared" si="1"/>
        <v>624.60320000000002</v>
      </c>
      <c r="N21" s="31">
        <v>0</v>
      </c>
      <c r="O21" s="31">
        <f t="shared" si="2"/>
        <v>0</v>
      </c>
      <c r="P21" s="31">
        <v>0</v>
      </c>
      <c r="Q21" s="31">
        <f t="shared" si="3"/>
        <v>0</v>
      </c>
      <c r="R21" s="31"/>
      <c r="S21" s="33">
        <v>0</v>
      </c>
    </row>
    <row r="22" spans="1:19" x14ac:dyDescent="0.2">
      <c r="A22" s="22">
        <f>Data!A7</f>
        <v>46150</v>
      </c>
      <c r="B22" s="23">
        <f>Data!B7</f>
        <v>1</v>
      </c>
      <c r="C22" s="34">
        <f>Data!C7</f>
        <v>84203</v>
      </c>
      <c r="D22" s="35" t="str">
        <f>Data!D7</f>
        <v>ZZP0006818</v>
      </c>
      <c r="E22" s="36">
        <f>Data!E7</f>
        <v>0</v>
      </c>
      <c r="F22" s="36">
        <f>Data!F7</f>
        <v>0</v>
      </c>
      <c r="G22" s="36">
        <f>Data!G7</f>
        <v>0</v>
      </c>
      <c r="H22" s="37" t="str">
        <f>Data!H7</f>
        <v>MYKONOS GREEK FOOD, C.A.</v>
      </c>
      <c r="I22" s="35" t="str">
        <f>Data!I7</f>
        <v>J504589616</v>
      </c>
      <c r="J22" s="31">
        <f t="shared" si="0"/>
        <v>4998.6024000000007</v>
      </c>
      <c r="K22" s="31">
        <f>Data!K7</f>
        <v>0</v>
      </c>
      <c r="L22" s="31">
        <f>Data!L7</f>
        <v>4309.1400000000003</v>
      </c>
      <c r="M22" s="31">
        <f t="shared" si="1"/>
        <v>689.4624</v>
      </c>
      <c r="N22" s="31">
        <v>0</v>
      </c>
      <c r="O22" s="31">
        <f t="shared" si="2"/>
        <v>0</v>
      </c>
      <c r="P22" s="31">
        <v>0</v>
      </c>
      <c r="Q22" s="31">
        <f t="shared" si="3"/>
        <v>0</v>
      </c>
      <c r="R22" s="31"/>
      <c r="S22" s="33">
        <v>0</v>
      </c>
    </row>
    <row r="23" spans="1:19" x14ac:dyDescent="0.2">
      <c r="A23" s="22">
        <f>Data!A8</f>
        <v>46152</v>
      </c>
      <c r="B23" s="23">
        <f>Data!B8</f>
        <v>1</v>
      </c>
      <c r="C23" s="34">
        <f>Data!C8</f>
        <v>73940</v>
      </c>
      <c r="D23" s="35" t="str">
        <f>Data!D8</f>
        <v>Z7C7000300</v>
      </c>
      <c r="E23" s="36">
        <f>Data!E8</f>
        <v>0</v>
      </c>
      <c r="F23" s="36">
        <f>Data!F8</f>
        <v>0</v>
      </c>
      <c r="G23" s="36">
        <f>Data!G8</f>
        <v>0</v>
      </c>
      <c r="H23" s="37" t="str">
        <f>Data!H8</f>
        <v>INVERSIONES FLORENCIA 77, C.A.</v>
      </c>
      <c r="I23" s="35" t="str">
        <f>Data!I8</f>
        <v>J317239199</v>
      </c>
      <c r="J23" s="31">
        <f t="shared" si="0"/>
        <v>21217.571599999999</v>
      </c>
      <c r="K23" s="31">
        <f>Data!K8</f>
        <v>0</v>
      </c>
      <c r="L23" s="31">
        <f>Data!L8</f>
        <v>18291.009999999998</v>
      </c>
      <c r="M23" s="31">
        <f t="shared" si="1"/>
        <v>2926.5615999999995</v>
      </c>
      <c r="N23" s="31">
        <v>0</v>
      </c>
      <c r="O23" s="31">
        <f t="shared" si="2"/>
        <v>0</v>
      </c>
      <c r="P23" s="31">
        <v>0</v>
      </c>
      <c r="Q23" s="31">
        <f t="shared" si="3"/>
        <v>0</v>
      </c>
      <c r="R23" s="31"/>
      <c r="S23" s="33">
        <v>0</v>
      </c>
    </row>
    <row r="24" spans="1:19" x14ac:dyDescent="0.2">
      <c r="A24" s="22">
        <f>Data!A9</f>
        <v>46152</v>
      </c>
      <c r="B24" s="23">
        <f>Data!B9</f>
        <v>1</v>
      </c>
      <c r="C24" s="34">
        <f>Data!C9</f>
        <v>5265</v>
      </c>
      <c r="D24" s="35" t="str">
        <f>Data!D9</f>
        <v>TIE2500154</v>
      </c>
      <c r="E24" s="36">
        <f>Data!E9</f>
        <v>0</v>
      </c>
      <c r="F24" s="36">
        <f>Data!F9</f>
        <v>0</v>
      </c>
      <c r="G24" s="36">
        <f>Data!G9</f>
        <v>0</v>
      </c>
      <c r="H24" s="37" t="str">
        <f>Data!H9</f>
        <v>INVERSIONES FRAGANCE II 1999 C.A.</v>
      </c>
      <c r="I24" s="35" t="str">
        <f>Data!I9</f>
        <v>J315404354</v>
      </c>
      <c r="J24" s="31">
        <f t="shared" si="0"/>
        <v>28340.018</v>
      </c>
      <c r="K24" s="31">
        <f>Data!K9</f>
        <v>0</v>
      </c>
      <c r="L24" s="31">
        <f>Data!L9</f>
        <v>24431.05</v>
      </c>
      <c r="M24" s="31">
        <f t="shared" si="1"/>
        <v>3908.9679999999998</v>
      </c>
      <c r="N24" s="31">
        <v>0</v>
      </c>
      <c r="O24" s="31">
        <f t="shared" si="2"/>
        <v>0</v>
      </c>
      <c r="P24" s="31">
        <v>0</v>
      </c>
      <c r="Q24" s="31">
        <f t="shared" si="3"/>
        <v>0</v>
      </c>
      <c r="R24" s="31"/>
      <c r="S24" s="33">
        <v>0</v>
      </c>
    </row>
    <row r="25" spans="1:19" x14ac:dyDescent="0.2">
      <c r="A25" s="22">
        <f>Data!A10</f>
        <v>46153</v>
      </c>
      <c r="B25" s="23">
        <f>Data!B10</f>
        <v>1</v>
      </c>
      <c r="C25" s="34">
        <f>Data!C10</f>
        <v>2021</v>
      </c>
      <c r="D25" s="35" t="str">
        <f>Data!D10</f>
        <v>ZZN0003547</v>
      </c>
      <c r="E25" s="36">
        <f>Data!E10</f>
        <v>0</v>
      </c>
      <c r="F25" s="36">
        <f>Data!F10</f>
        <v>0</v>
      </c>
      <c r="G25" s="36">
        <f>Data!G10</f>
        <v>0</v>
      </c>
      <c r="H25" s="37" t="str">
        <f>Data!H10</f>
        <v>TECNICA DE EMBRAGUES DOBLE INTOCABLES 2010, C.A.</v>
      </c>
      <c r="I25" s="35" t="str">
        <f>Data!I10</f>
        <v>J298524545</v>
      </c>
      <c r="J25" s="31">
        <f t="shared" si="0"/>
        <v>35399.998400000004</v>
      </c>
      <c r="K25" s="31">
        <f>Data!K10</f>
        <v>0</v>
      </c>
      <c r="L25" s="31">
        <f>Data!L10</f>
        <v>30517.24</v>
      </c>
      <c r="M25" s="31">
        <f t="shared" si="1"/>
        <v>4882.7584000000006</v>
      </c>
      <c r="N25" s="31">
        <v>0</v>
      </c>
      <c r="O25" s="31">
        <f t="shared" si="2"/>
        <v>0</v>
      </c>
      <c r="P25" s="31">
        <v>0</v>
      </c>
      <c r="Q25" s="31">
        <f t="shared" si="3"/>
        <v>0</v>
      </c>
      <c r="R25" s="31"/>
      <c r="S25" s="33">
        <v>0</v>
      </c>
    </row>
    <row r="26" spans="1:19" x14ac:dyDescent="0.2">
      <c r="A26" s="22">
        <f>Data!A11</f>
        <v>46153</v>
      </c>
      <c r="B26" s="23">
        <f>Data!B11</f>
        <v>1</v>
      </c>
      <c r="C26" s="34">
        <f>Data!C11</f>
        <v>3343</v>
      </c>
      <c r="D26" s="35" t="str">
        <f>Data!D11</f>
        <v>ZZP0013674</v>
      </c>
      <c r="E26" s="36">
        <f>Data!E11</f>
        <v>0</v>
      </c>
      <c r="F26" s="36">
        <f>Data!F11</f>
        <v>0</v>
      </c>
      <c r="G26" s="36">
        <f>Data!G11</f>
        <v>0</v>
      </c>
      <c r="H26" s="37" t="str">
        <f>Data!H11</f>
        <v>Comercializadora TUA 2024, C.A.</v>
      </c>
      <c r="I26" s="35" t="str">
        <f>Data!I11</f>
        <v>J505670743</v>
      </c>
      <c r="J26" s="31">
        <f t="shared" si="0"/>
        <v>16334.5604</v>
      </c>
      <c r="K26" s="31">
        <f>Data!K11</f>
        <v>1296.3900000000001</v>
      </c>
      <c r="L26" s="31">
        <f>Data!L11</f>
        <v>12963.94</v>
      </c>
      <c r="M26" s="31">
        <f t="shared" si="1"/>
        <v>2074.2303999999999</v>
      </c>
      <c r="N26" s="31">
        <v>0</v>
      </c>
      <c r="O26" s="31">
        <f t="shared" si="2"/>
        <v>0</v>
      </c>
      <c r="P26" s="31">
        <v>0</v>
      </c>
      <c r="Q26" s="31">
        <f t="shared" si="3"/>
        <v>0</v>
      </c>
      <c r="R26" s="31"/>
      <c r="S26" s="33">
        <v>0</v>
      </c>
    </row>
    <row r="27" spans="1:19" x14ac:dyDescent="0.2">
      <c r="A27" s="22">
        <f>Data!A12</f>
        <v>46154</v>
      </c>
      <c r="B27" s="23">
        <f>Data!B12</f>
        <v>1</v>
      </c>
      <c r="C27" s="34">
        <f>Data!C12</f>
        <v>52555</v>
      </c>
      <c r="D27" s="35" t="str">
        <f>Data!D12</f>
        <v>Z7C7038186</v>
      </c>
      <c r="E27" s="36">
        <f>Data!E12</f>
        <v>0</v>
      </c>
      <c r="F27" s="36">
        <f>Data!F12</f>
        <v>0</v>
      </c>
      <c r="G27" s="36">
        <f>Data!G12</f>
        <v>0</v>
      </c>
      <c r="H27" s="37" t="str">
        <f>Data!H12</f>
        <v>PROMOTORA METROPOLITANA, DE RESTAURANTES 25, C.A.</v>
      </c>
      <c r="I27" s="35" t="str">
        <f>Data!I12</f>
        <v>J311359036</v>
      </c>
      <c r="J27" s="31">
        <f t="shared" si="0"/>
        <v>7321.2124000000003</v>
      </c>
      <c r="K27" s="31">
        <f>Data!K12</f>
        <v>0</v>
      </c>
      <c r="L27" s="31">
        <f>Data!L12</f>
        <v>6311.39</v>
      </c>
      <c r="M27" s="31">
        <f t="shared" si="1"/>
        <v>1009.8224</v>
      </c>
      <c r="N27" s="31">
        <v>0</v>
      </c>
      <c r="O27" s="31">
        <f t="shared" si="2"/>
        <v>0</v>
      </c>
      <c r="P27" s="31">
        <v>0</v>
      </c>
      <c r="Q27" s="31">
        <f t="shared" si="3"/>
        <v>0</v>
      </c>
      <c r="R27" s="31"/>
      <c r="S27" s="33">
        <v>0</v>
      </c>
    </row>
    <row r="28" spans="1:19" x14ac:dyDescent="0.2">
      <c r="A28" s="22">
        <f>Data!A13</f>
        <v>46154</v>
      </c>
      <c r="B28" s="23">
        <f>Data!B13</f>
        <v>1</v>
      </c>
      <c r="C28" s="34">
        <f>Data!C13</f>
        <v>959</v>
      </c>
      <c r="D28" s="35" t="str">
        <f>Data!D13</f>
        <v>ZZP0021188</v>
      </c>
      <c r="E28" s="36">
        <f>Data!E13</f>
        <v>0</v>
      </c>
      <c r="F28" s="36">
        <f>Data!F13</f>
        <v>0</v>
      </c>
      <c r="G28" s="36">
        <f>Data!G13</f>
        <v>0</v>
      </c>
      <c r="H28" s="37" t="str">
        <f>Data!H13</f>
        <v>CONSORCIO IRB CCS, C.A.</v>
      </c>
      <c r="I28" s="35" t="str">
        <f>Data!I13</f>
        <v>J507891054</v>
      </c>
      <c r="J28" s="31">
        <f t="shared" si="0"/>
        <v>21350.0088</v>
      </c>
      <c r="K28" s="31">
        <f>Data!K13</f>
        <v>0</v>
      </c>
      <c r="L28" s="31">
        <f>Data!L13</f>
        <v>18405.18</v>
      </c>
      <c r="M28" s="31">
        <f t="shared" si="1"/>
        <v>2944.8288000000002</v>
      </c>
      <c r="N28" s="31">
        <v>0</v>
      </c>
      <c r="O28" s="31">
        <f t="shared" si="2"/>
        <v>0</v>
      </c>
      <c r="P28" s="31">
        <v>0</v>
      </c>
      <c r="Q28" s="31">
        <f t="shared" si="3"/>
        <v>0</v>
      </c>
      <c r="R28" s="31"/>
      <c r="S28" s="33">
        <v>0</v>
      </c>
    </row>
    <row r="29" spans="1:19" x14ac:dyDescent="0.2">
      <c r="A29" s="22">
        <f>Data!A14</f>
        <v>46154</v>
      </c>
      <c r="B29" s="23">
        <f>Data!B14</f>
        <v>1</v>
      </c>
      <c r="C29" s="34">
        <f>Data!C14</f>
        <v>10523</v>
      </c>
      <c r="D29" s="35" t="str">
        <f>Data!D14</f>
        <v>Z7C0022860</v>
      </c>
      <c r="E29" s="36">
        <f>Data!E14</f>
        <v>0</v>
      </c>
      <c r="F29" s="36">
        <f>Data!F14</f>
        <v>0</v>
      </c>
      <c r="G29" s="36">
        <f>Data!G14</f>
        <v>0</v>
      </c>
      <c r="H29" s="37" t="str">
        <f>Data!H14</f>
        <v>FTL SBL CCS, C.A.</v>
      </c>
      <c r="I29" s="35" t="str">
        <f>Data!I14</f>
        <v>J501690260</v>
      </c>
      <c r="J29" s="31">
        <f t="shared" si="0"/>
        <v>54530.753199999999</v>
      </c>
      <c r="K29" s="31">
        <f>Data!K14</f>
        <v>0</v>
      </c>
      <c r="L29" s="31">
        <f>Data!L14</f>
        <v>47009.27</v>
      </c>
      <c r="M29" s="31">
        <f t="shared" si="1"/>
        <v>7521.4831999999997</v>
      </c>
      <c r="N29" s="31">
        <v>0</v>
      </c>
      <c r="O29" s="31">
        <f t="shared" si="2"/>
        <v>0</v>
      </c>
      <c r="P29" s="31">
        <v>0</v>
      </c>
      <c r="Q29" s="31">
        <f t="shared" si="3"/>
        <v>0</v>
      </c>
      <c r="R29" s="31"/>
      <c r="S29" s="33">
        <v>0</v>
      </c>
    </row>
    <row r="30" spans="1:19" x14ac:dyDescent="0.2">
      <c r="A30" s="22">
        <f>Data!A15</f>
        <v>46154</v>
      </c>
      <c r="B30" s="23">
        <f>Data!B15</f>
        <v>1</v>
      </c>
      <c r="C30" s="34">
        <f>Data!C15</f>
        <v>46952</v>
      </c>
      <c r="D30" s="35" t="str">
        <f>Data!D15</f>
        <v>ZZP0011912</v>
      </c>
      <c r="E30" s="36">
        <f>Data!E15</f>
        <v>0</v>
      </c>
      <c r="F30" s="36">
        <f>Data!F15</f>
        <v>0</v>
      </c>
      <c r="G30" s="36">
        <f>Data!G15</f>
        <v>0</v>
      </c>
      <c r="H30" s="37" t="str">
        <f>Data!H15</f>
        <v>MERAKI 222, C.A.</v>
      </c>
      <c r="I30" s="35" t="str">
        <f>Data!I15</f>
        <v>J506138387</v>
      </c>
      <c r="J30" s="31">
        <f t="shared" si="0"/>
        <v>8078.5416000000005</v>
      </c>
      <c r="K30" s="31">
        <f>Data!K15</f>
        <v>0</v>
      </c>
      <c r="L30" s="31">
        <f>Data!L15</f>
        <v>6964.26</v>
      </c>
      <c r="M30" s="31">
        <f t="shared" si="1"/>
        <v>1114.2816</v>
      </c>
      <c r="N30" s="31">
        <v>0</v>
      </c>
      <c r="O30" s="31">
        <f t="shared" si="2"/>
        <v>0</v>
      </c>
      <c r="P30" s="31">
        <v>0</v>
      </c>
      <c r="Q30" s="31">
        <f t="shared" si="3"/>
        <v>0</v>
      </c>
      <c r="R30" s="31"/>
      <c r="S30" s="33">
        <v>0</v>
      </c>
    </row>
    <row r="31" spans="1:19" x14ac:dyDescent="0.2">
      <c r="A31" s="22">
        <f>Data!A16</f>
        <v>46155</v>
      </c>
      <c r="B31" s="23">
        <f>Data!B16</f>
        <v>1</v>
      </c>
      <c r="C31" s="34">
        <f>Data!C16</f>
        <v>5995</v>
      </c>
      <c r="D31" s="35">
        <f>Data!D16</f>
        <v>5995</v>
      </c>
      <c r="E31" s="36">
        <f>Data!E16</f>
        <v>0</v>
      </c>
      <c r="F31" s="36">
        <f>Data!F16</f>
        <v>0</v>
      </c>
      <c r="G31" s="36">
        <f>Data!G16</f>
        <v>0</v>
      </c>
      <c r="H31" s="37" t="str">
        <f>Data!H16</f>
        <v>MULTIREPUESTOS CHINA PARTS 1668, C.A</v>
      </c>
      <c r="I31" s="35" t="str">
        <f>Data!I16</f>
        <v>J317555364</v>
      </c>
      <c r="J31" s="31">
        <f t="shared" si="0"/>
        <v>54242.18</v>
      </c>
      <c r="K31" s="31">
        <f>Data!K16</f>
        <v>0</v>
      </c>
      <c r="L31" s="31">
        <f>Data!L16</f>
        <v>46760.5</v>
      </c>
      <c r="M31" s="31">
        <f t="shared" si="1"/>
        <v>7481.68</v>
      </c>
      <c r="N31" s="31">
        <v>0</v>
      </c>
      <c r="O31" s="31">
        <f t="shared" si="2"/>
        <v>0</v>
      </c>
      <c r="P31" s="31">
        <v>0</v>
      </c>
      <c r="Q31" s="31">
        <f t="shared" si="3"/>
        <v>0</v>
      </c>
      <c r="R31" s="31"/>
      <c r="S31" s="33">
        <v>0</v>
      </c>
    </row>
    <row r="32" spans="1:19" x14ac:dyDescent="0.2">
      <c r="A32" s="22">
        <f>Data!A17</f>
        <v>46155</v>
      </c>
      <c r="B32" s="23">
        <f>Data!B17</f>
        <v>1</v>
      </c>
      <c r="C32" s="34">
        <f>Data!C17</f>
        <v>2621</v>
      </c>
      <c r="D32" s="35" t="str">
        <f>Data!D17</f>
        <v>ZZL0002373</v>
      </c>
      <c r="E32" s="36">
        <f>Data!E17</f>
        <v>0</v>
      </c>
      <c r="F32" s="36">
        <f>Data!F17</f>
        <v>0</v>
      </c>
      <c r="G32" s="36">
        <f>Data!G17</f>
        <v>0</v>
      </c>
      <c r="H32" s="37" t="str">
        <f>Data!H17</f>
        <v>SERVICIO TECNICO DE CAUCHOS ESTADIUM, C.A.</v>
      </c>
      <c r="I32" s="35" t="str">
        <f>Data!I17</f>
        <v>J000622884</v>
      </c>
      <c r="J32" s="31">
        <f t="shared" si="0"/>
        <v>20319.371999999999</v>
      </c>
      <c r="K32" s="31">
        <f>Data!K17</f>
        <v>0</v>
      </c>
      <c r="L32" s="31">
        <f>Data!L17</f>
        <v>17516.7</v>
      </c>
      <c r="M32" s="31">
        <f t="shared" si="1"/>
        <v>2802.672</v>
      </c>
      <c r="N32" s="31">
        <v>0</v>
      </c>
      <c r="O32" s="31">
        <f t="shared" si="2"/>
        <v>0</v>
      </c>
      <c r="P32" s="31">
        <v>0</v>
      </c>
      <c r="Q32" s="31">
        <f t="shared" si="3"/>
        <v>0</v>
      </c>
      <c r="R32" s="31"/>
      <c r="S32" s="33">
        <v>0</v>
      </c>
    </row>
    <row r="33" spans="1:19" x14ac:dyDescent="0.2">
      <c r="A33" s="22">
        <f>Data!A18</f>
        <v>46155</v>
      </c>
      <c r="B33" s="23">
        <f>Data!B18</f>
        <v>1</v>
      </c>
      <c r="C33" s="34">
        <f>Data!C18</f>
        <v>2021</v>
      </c>
      <c r="D33" s="35" t="str">
        <f>Data!D18</f>
        <v>ZZN0003547</v>
      </c>
      <c r="E33" s="36">
        <f>Data!E18</f>
        <v>0</v>
      </c>
      <c r="F33" s="36">
        <f>Data!F18</f>
        <v>0</v>
      </c>
      <c r="G33" s="36">
        <f>Data!G18</f>
        <v>0</v>
      </c>
      <c r="H33" s="37" t="str">
        <f>Data!H18</f>
        <v>TECNICA DE EMBRAGUES DOBLE INTOCABLES 2010, C.A.</v>
      </c>
      <c r="I33" s="35" t="str">
        <f>Data!I18</f>
        <v>J298524545</v>
      </c>
      <c r="J33" s="31">
        <f t="shared" si="0"/>
        <v>41499.997600000002</v>
      </c>
      <c r="K33" s="31">
        <f>Data!K18</f>
        <v>0</v>
      </c>
      <c r="L33" s="31">
        <f>Data!L18</f>
        <v>35775.86</v>
      </c>
      <c r="M33" s="31">
        <f t="shared" si="1"/>
        <v>5724.1376</v>
      </c>
      <c r="N33" s="31">
        <v>0</v>
      </c>
      <c r="O33" s="31">
        <f t="shared" si="2"/>
        <v>0</v>
      </c>
      <c r="P33" s="31">
        <v>0</v>
      </c>
      <c r="Q33" s="31">
        <f t="shared" si="3"/>
        <v>0</v>
      </c>
      <c r="R33" s="31"/>
      <c r="S33" s="33">
        <v>0</v>
      </c>
    </row>
    <row r="34" spans="1:19" x14ac:dyDescent="0.2">
      <c r="A34" s="22">
        <f>Data!A19</f>
        <v>46156</v>
      </c>
      <c r="B34" s="23">
        <f>Data!B19</f>
        <v>1</v>
      </c>
      <c r="C34" s="34">
        <f>Data!C19</f>
        <v>5996</v>
      </c>
      <c r="D34" s="35">
        <f>Data!D19</f>
        <v>5996</v>
      </c>
      <c r="E34" s="36">
        <f>Data!E19</f>
        <v>0</v>
      </c>
      <c r="F34" s="36">
        <f>Data!F19</f>
        <v>0</v>
      </c>
      <c r="G34" s="36">
        <f>Data!G19</f>
        <v>0</v>
      </c>
      <c r="H34" s="37" t="str">
        <f>Data!H19</f>
        <v>MULTIREPUESTOS CHINA PARTS 1668, C.A</v>
      </c>
      <c r="I34" s="35" t="str">
        <f>Data!I19</f>
        <v>J317555364</v>
      </c>
      <c r="J34" s="31">
        <f t="shared" si="0"/>
        <v>26218.853599999999</v>
      </c>
      <c r="K34" s="31">
        <f>Data!K19</f>
        <v>0</v>
      </c>
      <c r="L34" s="31">
        <f>Data!L19</f>
        <v>22602.46</v>
      </c>
      <c r="M34" s="31">
        <f t="shared" si="1"/>
        <v>3616.3935999999999</v>
      </c>
      <c r="N34" s="31">
        <v>0</v>
      </c>
      <c r="O34" s="31">
        <f t="shared" si="2"/>
        <v>0</v>
      </c>
      <c r="P34" s="31">
        <v>0</v>
      </c>
      <c r="Q34" s="31">
        <f t="shared" si="3"/>
        <v>0</v>
      </c>
      <c r="R34" s="31"/>
      <c r="S34" s="33">
        <v>0</v>
      </c>
    </row>
    <row r="35" spans="1:19" x14ac:dyDescent="0.2">
      <c r="A35" s="22">
        <f>Data!A20</f>
        <v>46156</v>
      </c>
      <c r="B35" s="23">
        <f>Data!B20</f>
        <v>1</v>
      </c>
      <c r="C35" s="34">
        <f>Data!C20</f>
        <v>19657</v>
      </c>
      <c r="D35" s="35" t="str">
        <f>Data!D20</f>
        <v>ZZP0018130</v>
      </c>
      <c r="E35" s="36">
        <f>Data!E20</f>
        <v>0</v>
      </c>
      <c r="F35" s="36">
        <f>Data!F20</f>
        <v>0</v>
      </c>
      <c r="G35" s="36">
        <f>Data!G20</f>
        <v>0</v>
      </c>
      <c r="H35" s="37" t="str">
        <f>Data!H20</f>
        <v>PANADERIA, PASTELERIA Y DELICATESES AVINTES, C.A.</v>
      </c>
      <c r="I35" s="35" t="str">
        <f>Data!I20</f>
        <v>J502708405</v>
      </c>
      <c r="J35" s="31">
        <f t="shared" si="0"/>
        <v>3371.2168000000001</v>
      </c>
      <c r="K35" s="31">
        <f>Data!K20</f>
        <v>766.17</v>
      </c>
      <c r="L35" s="31">
        <f>Data!L20</f>
        <v>2245.73</v>
      </c>
      <c r="M35" s="31">
        <f t="shared" si="1"/>
        <v>359.3168</v>
      </c>
      <c r="N35" s="31">
        <v>0</v>
      </c>
      <c r="O35" s="31">
        <f t="shared" si="2"/>
        <v>0</v>
      </c>
      <c r="P35" s="31">
        <v>0</v>
      </c>
      <c r="Q35" s="31">
        <f t="shared" si="3"/>
        <v>0</v>
      </c>
      <c r="R35" s="31"/>
      <c r="S35" s="33">
        <v>0</v>
      </c>
    </row>
    <row r="36" spans="1:19" x14ac:dyDescent="0.2">
      <c r="A36" s="22">
        <f>Data!A21</f>
        <v>46159</v>
      </c>
      <c r="B36" s="23">
        <f>Data!B21</f>
        <v>1</v>
      </c>
      <c r="C36" s="34">
        <f>Data!C21</f>
        <v>53387</v>
      </c>
      <c r="D36" s="35" t="str">
        <f>Data!D21</f>
        <v>Z7C7038186</v>
      </c>
      <c r="E36" s="36">
        <f>Data!E21</f>
        <v>0</v>
      </c>
      <c r="F36" s="36">
        <f>Data!F21</f>
        <v>0</v>
      </c>
      <c r="G36" s="36">
        <f>Data!G21</f>
        <v>0</v>
      </c>
      <c r="H36" s="37" t="str">
        <f>Data!H21</f>
        <v>PROMOTORA METROPOLITANA, DE RESTAURANTES 25, C.A.</v>
      </c>
      <c r="I36" s="35" t="str">
        <f>Data!I21</f>
        <v>J311359036</v>
      </c>
      <c r="J36" s="31">
        <f t="shared" si="0"/>
        <v>10100.224399999999</v>
      </c>
      <c r="K36" s="31">
        <f>Data!K21</f>
        <v>0</v>
      </c>
      <c r="L36" s="31">
        <f>Data!L21</f>
        <v>8707.09</v>
      </c>
      <c r="M36" s="31">
        <f t="shared" si="1"/>
        <v>1393.1343999999999</v>
      </c>
      <c r="N36" s="31">
        <v>0</v>
      </c>
      <c r="O36" s="31">
        <f t="shared" si="2"/>
        <v>0</v>
      </c>
      <c r="P36" s="31">
        <v>0</v>
      </c>
      <c r="Q36" s="31">
        <f t="shared" si="3"/>
        <v>0</v>
      </c>
      <c r="R36" s="31"/>
      <c r="S36" s="33">
        <v>0</v>
      </c>
    </row>
    <row r="37" spans="1:19" x14ac:dyDescent="0.2">
      <c r="A37" s="22">
        <f>Data!A22</f>
        <v>46160</v>
      </c>
      <c r="B37" s="23">
        <f>Data!B22</f>
        <v>1</v>
      </c>
      <c r="C37" s="34">
        <f>Data!C22</f>
        <v>6005</v>
      </c>
      <c r="D37" s="35">
        <f>Data!D22</f>
        <v>6005</v>
      </c>
      <c r="E37" s="36">
        <f>Data!E22</f>
        <v>0</v>
      </c>
      <c r="F37" s="36">
        <f>Data!F22</f>
        <v>0</v>
      </c>
      <c r="G37" s="36">
        <f>Data!G22</f>
        <v>0</v>
      </c>
      <c r="H37" s="37" t="str">
        <f>Data!H22</f>
        <v>MULTIREPUESTOS CHINA PARTS 1668, C.A</v>
      </c>
      <c r="I37" s="35" t="str">
        <f>Data!I22</f>
        <v>J317555364</v>
      </c>
      <c r="J37" s="31">
        <f t="shared" si="0"/>
        <v>31497.143599999999</v>
      </c>
      <c r="K37" s="31">
        <f>Data!K22</f>
        <v>0</v>
      </c>
      <c r="L37" s="31">
        <f>Data!L22</f>
        <v>27152.71</v>
      </c>
      <c r="M37" s="31">
        <f t="shared" si="1"/>
        <v>4344.4336000000003</v>
      </c>
      <c r="N37" s="31">
        <v>0</v>
      </c>
      <c r="O37" s="31">
        <f t="shared" si="2"/>
        <v>0</v>
      </c>
      <c r="P37" s="31">
        <v>0</v>
      </c>
      <c r="Q37" s="31">
        <f t="shared" si="3"/>
        <v>0</v>
      </c>
      <c r="R37" s="31"/>
      <c r="S37" s="33">
        <v>0</v>
      </c>
    </row>
    <row r="38" spans="1:19" x14ac:dyDescent="0.2">
      <c r="A38" s="22">
        <f>Data!A23</f>
        <v>46160</v>
      </c>
      <c r="B38" s="23">
        <f>Data!B23</f>
        <v>1</v>
      </c>
      <c r="C38" s="34">
        <f>Data!C23</f>
        <v>562</v>
      </c>
      <c r="D38" s="35" t="str">
        <f>Data!D23</f>
        <v>00-001974</v>
      </c>
      <c r="E38" s="36">
        <f>Data!E23</f>
        <v>0</v>
      </c>
      <c r="F38" s="36">
        <f>Data!F23</f>
        <v>0</v>
      </c>
      <c r="G38" s="36">
        <f>Data!G23</f>
        <v>0</v>
      </c>
      <c r="H38" s="37" t="str">
        <f>Data!H23</f>
        <v>REPUESTOS Y AUTOSERVICIO LA PAZ, C.A.</v>
      </c>
      <c r="I38" s="35" t="str">
        <f>Data!I23</f>
        <v>J504638994</v>
      </c>
      <c r="J38" s="31">
        <f t="shared" si="0"/>
        <v>114158.38399999999</v>
      </c>
      <c r="K38" s="31">
        <f>Data!K23</f>
        <v>0</v>
      </c>
      <c r="L38" s="31">
        <f>Data!L23</f>
        <v>98412.4</v>
      </c>
      <c r="M38" s="31">
        <f t="shared" si="1"/>
        <v>15745.983999999999</v>
      </c>
      <c r="N38" s="31">
        <v>0</v>
      </c>
      <c r="O38" s="31">
        <f t="shared" si="2"/>
        <v>0</v>
      </c>
      <c r="P38" s="31">
        <v>0</v>
      </c>
      <c r="Q38" s="31">
        <f t="shared" si="3"/>
        <v>0</v>
      </c>
      <c r="R38" s="31"/>
      <c r="S38" s="33">
        <v>0</v>
      </c>
    </row>
    <row r="39" spans="1:19" x14ac:dyDescent="0.2">
      <c r="A39" s="22">
        <f>Data!A24</f>
        <v>46162</v>
      </c>
      <c r="B39" s="23">
        <f>Data!B24</f>
        <v>1</v>
      </c>
      <c r="C39" s="34">
        <f>Data!C24</f>
        <v>3665</v>
      </c>
      <c r="D39" s="35" t="str">
        <f>Data!D24</f>
        <v>1FC7002209</v>
      </c>
      <c r="E39" s="36">
        <f>Data!E24</f>
        <v>0</v>
      </c>
      <c r="F39" s="36">
        <f>Data!F24</f>
        <v>0</v>
      </c>
      <c r="G39" s="36">
        <f>Data!G24</f>
        <v>0</v>
      </c>
      <c r="H39" s="37" t="str">
        <f>Data!H24</f>
        <v>DE TODO RESPUESTO AUTOMOTRIZ, C.A.</v>
      </c>
      <c r="I39" s="35" t="str">
        <f>Data!I24</f>
        <v>J298830514</v>
      </c>
      <c r="J39" s="31">
        <f t="shared" si="0"/>
        <v>420477.29879999999</v>
      </c>
      <c r="K39" s="31">
        <f>Data!K24</f>
        <v>0</v>
      </c>
      <c r="L39" s="31">
        <f>Data!L24</f>
        <v>362480.43</v>
      </c>
      <c r="M39" s="31">
        <f t="shared" si="1"/>
        <v>57996.868799999997</v>
      </c>
      <c r="N39" s="31">
        <v>0</v>
      </c>
      <c r="O39" s="31">
        <f t="shared" si="2"/>
        <v>0</v>
      </c>
      <c r="P39" s="31">
        <v>0</v>
      </c>
      <c r="Q39" s="31">
        <f t="shared" si="3"/>
        <v>0</v>
      </c>
      <c r="R39" s="31"/>
      <c r="S39" s="33">
        <v>0</v>
      </c>
    </row>
    <row r="40" spans="1:19" x14ac:dyDescent="0.2">
      <c r="A40" s="22">
        <f>Data!A25</f>
        <v>46164</v>
      </c>
      <c r="B40" s="23">
        <f>Data!B25</f>
        <v>1</v>
      </c>
      <c r="C40" s="34">
        <f>Data!C25</f>
        <v>6016</v>
      </c>
      <c r="D40" s="35">
        <f>Data!D25</f>
        <v>6016</v>
      </c>
      <c r="E40" s="36">
        <f>Data!E25</f>
        <v>0</v>
      </c>
      <c r="F40" s="36">
        <f>Data!F25</f>
        <v>0</v>
      </c>
      <c r="G40" s="36">
        <f>Data!G25</f>
        <v>0</v>
      </c>
      <c r="H40" s="37" t="str">
        <f>Data!H25</f>
        <v>MULTIREPUESTOS CHINA PARTS 1668, C.A</v>
      </c>
      <c r="I40" s="35" t="str">
        <f>Data!I25</f>
        <v>J317555364</v>
      </c>
      <c r="J40" s="31">
        <f t="shared" si="0"/>
        <v>14257.096000000001</v>
      </c>
      <c r="K40" s="31">
        <f>Data!K25</f>
        <v>0</v>
      </c>
      <c r="L40" s="31">
        <f>Data!L25</f>
        <v>12290.6</v>
      </c>
      <c r="M40" s="31">
        <f t="shared" si="1"/>
        <v>1966.4960000000001</v>
      </c>
      <c r="N40" s="31">
        <v>0</v>
      </c>
      <c r="O40" s="31">
        <f t="shared" si="2"/>
        <v>0</v>
      </c>
      <c r="P40" s="31">
        <v>0</v>
      </c>
      <c r="Q40" s="31">
        <f t="shared" si="3"/>
        <v>0</v>
      </c>
      <c r="R40" s="31"/>
      <c r="S40" s="33">
        <v>0</v>
      </c>
    </row>
    <row r="41" spans="1:19" x14ac:dyDescent="0.2">
      <c r="A41" s="22">
        <f>Data!A26</f>
        <v>46165</v>
      </c>
      <c r="B41" s="23">
        <f>Data!B26</f>
        <v>1</v>
      </c>
      <c r="C41" s="34">
        <f>Data!C26</f>
        <v>20133</v>
      </c>
      <c r="D41" s="35" t="str">
        <f>Data!D26</f>
        <v>ZZP0018130</v>
      </c>
      <c r="E41" s="36">
        <f>Data!E26</f>
        <v>0</v>
      </c>
      <c r="F41" s="36">
        <f>Data!F26</f>
        <v>0</v>
      </c>
      <c r="G41" s="36">
        <f>Data!G26</f>
        <v>0</v>
      </c>
      <c r="H41" s="37" t="str">
        <f>Data!H26</f>
        <v>PANADERIA, PASTELERIA Y DELICATESES AVINTES, C.A.</v>
      </c>
      <c r="I41" s="35" t="str">
        <f>Data!I26</f>
        <v>J502708405</v>
      </c>
      <c r="J41" s="31">
        <f t="shared" si="0"/>
        <v>10702.936399999999</v>
      </c>
      <c r="K41" s="31">
        <f>Data!K26</f>
        <v>7421.83</v>
      </c>
      <c r="L41" s="31">
        <f>Data!L26</f>
        <v>2828.54</v>
      </c>
      <c r="M41" s="31">
        <f t="shared" si="1"/>
        <v>452.56639999999999</v>
      </c>
      <c r="N41" s="31">
        <v>0</v>
      </c>
      <c r="O41" s="31">
        <f t="shared" si="2"/>
        <v>0</v>
      </c>
      <c r="P41" s="31">
        <v>0</v>
      </c>
      <c r="Q41" s="31">
        <f t="shared" si="3"/>
        <v>0</v>
      </c>
      <c r="R41" s="31"/>
      <c r="S41" s="33">
        <v>0</v>
      </c>
    </row>
    <row r="42" spans="1:19" x14ac:dyDescent="0.2">
      <c r="A42" s="22">
        <f>Data!A27</f>
        <v>46167</v>
      </c>
      <c r="B42" s="23">
        <f>Data!B27</f>
        <v>1</v>
      </c>
      <c r="C42" s="34">
        <f>Data!C27</f>
        <v>51645</v>
      </c>
      <c r="D42" s="35" t="str">
        <f>Data!D27</f>
        <v>Z7C7038186</v>
      </c>
      <c r="E42" s="36">
        <f>Data!E27</f>
        <v>0</v>
      </c>
      <c r="F42" s="36">
        <f>Data!F27</f>
        <v>0</v>
      </c>
      <c r="G42" s="36">
        <f>Data!G27</f>
        <v>0</v>
      </c>
      <c r="H42" s="37" t="str">
        <f>Data!H27</f>
        <v>PROMOTORA METROPOLITANA, DE RESTAURANTES 25, C.A.</v>
      </c>
      <c r="I42" s="35" t="str">
        <f>Data!I27</f>
        <v>J311359036</v>
      </c>
      <c r="J42" s="31">
        <f t="shared" si="0"/>
        <v>17030.493599999998</v>
      </c>
      <c r="K42" s="31">
        <f>Data!K27</f>
        <v>0</v>
      </c>
      <c r="L42" s="31">
        <f>Data!L27</f>
        <v>14681.46</v>
      </c>
      <c r="M42" s="31">
        <f t="shared" si="1"/>
        <v>2349.0335999999998</v>
      </c>
      <c r="N42" s="31">
        <v>0</v>
      </c>
      <c r="O42" s="31">
        <f t="shared" si="2"/>
        <v>0</v>
      </c>
      <c r="P42" s="31">
        <v>0</v>
      </c>
      <c r="Q42" s="31">
        <f t="shared" si="3"/>
        <v>0</v>
      </c>
      <c r="R42" s="31"/>
      <c r="S42" s="33">
        <v>0</v>
      </c>
    </row>
    <row r="43" spans="1:19" x14ac:dyDescent="0.2">
      <c r="A43" s="22">
        <f>Data!A28</f>
        <v>46167</v>
      </c>
      <c r="B43" s="23">
        <f>Data!B28</f>
        <v>1</v>
      </c>
      <c r="C43" s="34">
        <f>Data!C28</f>
        <v>1</v>
      </c>
      <c r="D43" s="35" t="str">
        <f>Data!D28</f>
        <v>00-0001</v>
      </c>
      <c r="E43" s="36">
        <f>Data!E28</f>
        <v>0</v>
      </c>
      <c r="F43" s="36">
        <f>Data!F28</f>
        <v>0</v>
      </c>
      <c r="G43" s="36">
        <f>Data!G28</f>
        <v>0</v>
      </c>
      <c r="H43" s="37" t="str">
        <f>Data!H28</f>
        <v>GABRIAN JOELRODRIGUEZ SALCEDO</v>
      </c>
      <c r="I43" s="35" t="str">
        <f>Data!I28</f>
        <v>V238076869</v>
      </c>
      <c r="J43" s="31">
        <f t="shared" si="0"/>
        <v>274654.19759999996</v>
      </c>
      <c r="K43" s="31">
        <f>Data!K28</f>
        <v>0</v>
      </c>
      <c r="L43" s="31">
        <f>Data!L28</f>
        <v>236770.86</v>
      </c>
      <c r="M43" s="31">
        <f t="shared" si="1"/>
        <v>37883.337599999999</v>
      </c>
      <c r="N43" s="31">
        <v>0</v>
      </c>
      <c r="O43" s="31">
        <f t="shared" si="2"/>
        <v>0</v>
      </c>
      <c r="P43" s="31">
        <v>0</v>
      </c>
      <c r="Q43" s="31">
        <f t="shared" si="3"/>
        <v>0</v>
      </c>
      <c r="R43" s="31"/>
      <c r="S43" s="33">
        <v>0</v>
      </c>
    </row>
    <row r="44" spans="1:19" x14ac:dyDescent="0.2">
      <c r="A44" s="22">
        <f>Data!A29</f>
        <v>46168</v>
      </c>
      <c r="B44" s="23">
        <f>Data!B29</f>
        <v>1</v>
      </c>
      <c r="C44" s="34">
        <f>Data!C29</f>
        <v>158</v>
      </c>
      <c r="D44" s="35" t="str">
        <f>Data!D29</f>
        <v>00-000158</v>
      </c>
      <c r="E44" s="36">
        <f>Data!E29</f>
        <v>0</v>
      </c>
      <c r="F44" s="36">
        <f>Data!F29</f>
        <v>0</v>
      </c>
      <c r="G44" s="36">
        <f>Data!G29</f>
        <v>0</v>
      </c>
      <c r="H44" s="37" t="str">
        <f>Data!H29</f>
        <v>JORGE E. GONZALES SILVA</v>
      </c>
      <c r="I44" s="35" t="str">
        <f>Data!I29</f>
        <v>V056081042</v>
      </c>
      <c r="J44" s="31">
        <f t="shared" si="0"/>
        <v>195273.878</v>
      </c>
      <c r="K44" s="31">
        <f>Data!K29</f>
        <v>0</v>
      </c>
      <c r="L44" s="31">
        <f>Data!L29</f>
        <v>168339.55</v>
      </c>
      <c r="M44" s="31">
        <f t="shared" si="1"/>
        <v>26934.327999999998</v>
      </c>
      <c r="N44" s="31">
        <v>0</v>
      </c>
      <c r="O44" s="31">
        <f t="shared" si="2"/>
        <v>0</v>
      </c>
      <c r="P44" s="31">
        <v>0</v>
      </c>
      <c r="Q44" s="31">
        <f t="shared" si="3"/>
        <v>0</v>
      </c>
      <c r="R44" s="31"/>
      <c r="S44" s="33">
        <v>0</v>
      </c>
    </row>
    <row r="45" spans="1:19" x14ac:dyDescent="0.2">
      <c r="A45" s="22">
        <f>Data!A30</f>
        <v>46168</v>
      </c>
      <c r="B45" s="23">
        <f>Data!B30</f>
        <v>1</v>
      </c>
      <c r="C45" s="34">
        <f>Data!C30</f>
        <v>446</v>
      </c>
      <c r="D45" s="35" t="str">
        <f>Data!D30</f>
        <v>00-050775</v>
      </c>
      <c r="E45" s="36">
        <f>Data!E30</f>
        <v>0</v>
      </c>
      <c r="F45" s="36">
        <f>Data!F30</f>
        <v>0</v>
      </c>
      <c r="G45" s="36">
        <f>Data!G30</f>
        <v>0</v>
      </c>
      <c r="H45" s="37" t="str">
        <f>Data!H30</f>
        <v>AGRORUEDAS CHAKAO, C.A.</v>
      </c>
      <c r="I45" s="35" t="str">
        <f>Data!I30</f>
        <v>J410230940</v>
      </c>
      <c r="J45" s="31">
        <f t="shared" si="0"/>
        <v>65092.031199999998</v>
      </c>
      <c r="K45" s="31">
        <f>Data!K30</f>
        <v>0</v>
      </c>
      <c r="L45" s="31">
        <f>Data!L30</f>
        <v>56113.82</v>
      </c>
      <c r="M45" s="31">
        <f t="shared" si="1"/>
        <v>8978.2111999999997</v>
      </c>
      <c r="N45" s="31">
        <v>0</v>
      </c>
      <c r="O45" s="31">
        <f t="shared" si="2"/>
        <v>0</v>
      </c>
      <c r="P45" s="31">
        <v>0</v>
      </c>
      <c r="Q45" s="31">
        <f t="shared" si="3"/>
        <v>0</v>
      </c>
      <c r="R45" s="31"/>
      <c r="S45" s="33">
        <v>0</v>
      </c>
    </row>
    <row r="46" spans="1:19" x14ac:dyDescent="0.2">
      <c r="A46" s="22">
        <f>Data!A31</f>
        <v>46168</v>
      </c>
      <c r="B46" s="23">
        <f>Data!B31</f>
        <v>1</v>
      </c>
      <c r="C46" s="34">
        <f>Data!C31</f>
        <v>54889</v>
      </c>
      <c r="D46" s="35" t="str">
        <f>Data!D31</f>
        <v>Z7C7038186</v>
      </c>
      <c r="E46" s="36">
        <f>Data!E31</f>
        <v>0</v>
      </c>
      <c r="F46" s="36">
        <f>Data!F31</f>
        <v>0</v>
      </c>
      <c r="G46" s="36">
        <f>Data!G31</f>
        <v>0</v>
      </c>
      <c r="H46" s="37" t="str">
        <f>Data!H31</f>
        <v>PROMOTORA METROPOLITANA, DE RESTAURANTES 25, C.A.</v>
      </c>
      <c r="I46" s="35" t="str">
        <f>Data!I31</f>
        <v>J311359036</v>
      </c>
      <c r="J46" s="31">
        <f t="shared" si="0"/>
        <v>9904.5324000000001</v>
      </c>
      <c r="K46" s="31">
        <f>Data!K31</f>
        <v>0</v>
      </c>
      <c r="L46" s="31">
        <f>Data!L31</f>
        <v>8538.39</v>
      </c>
      <c r="M46" s="31">
        <f t="shared" si="1"/>
        <v>1366.1424</v>
      </c>
      <c r="N46" s="31">
        <v>0</v>
      </c>
      <c r="O46" s="31">
        <f t="shared" si="2"/>
        <v>0</v>
      </c>
      <c r="P46" s="31">
        <v>0</v>
      </c>
      <c r="Q46" s="31">
        <f t="shared" si="3"/>
        <v>0</v>
      </c>
      <c r="R46" s="31"/>
      <c r="S46" s="33">
        <v>0</v>
      </c>
    </row>
    <row r="47" spans="1:19" x14ac:dyDescent="0.2">
      <c r="A47" s="22">
        <f>Data!A32</f>
        <v>46168</v>
      </c>
      <c r="B47" s="23">
        <f>Data!B32</f>
        <v>1</v>
      </c>
      <c r="C47" s="34">
        <f>Data!C32</f>
        <v>0</v>
      </c>
      <c r="D47" s="57">
        <f>Data!D32</f>
        <v>0</v>
      </c>
      <c r="E47" s="36">
        <f>Data!E32</f>
        <v>0</v>
      </c>
      <c r="F47" s="50">
        <f>Data!F32</f>
        <v>331</v>
      </c>
      <c r="G47" s="51">
        <f>Data!G32</f>
        <v>446</v>
      </c>
      <c r="H47" s="37" t="str">
        <f>Data!H32</f>
        <v>AGRORUEDAS CHAKAO, C.A.</v>
      </c>
      <c r="I47" s="35" t="str">
        <f>Data!I32</f>
        <v>J410230940</v>
      </c>
      <c r="J47" s="31">
        <f t="shared" si="0"/>
        <v>-4283.0796</v>
      </c>
      <c r="K47" s="31">
        <f>Data!K32</f>
        <v>0</v>
      </c>
      <c r="L47" s="31">
        <f>Data!L32</f>
        <v>-3692.31</v>
      </c>
      <c r="M47" s="31">
        <f t="shared" si="1"/>
        <v>-590.76959999999997</v>
      </c>
      <c r="N47" s="31">
        <v>0</v>
      </c>
      <c r="O47" s="31">
        <f t="shared" si="2"/>
        <v>0</v>
      </c>
      <c r="P47" s="31">
        <v>0</v>
      </c>
      <c r="Q47" s="31">
        <f t="shared" si="3"/>
        <v>0</v>
      </c>
      <c r="R47" s="31"/>
      <c r="S47" s="33">
        <v>0</v>
      </c>
    </row>
    <row r="48" spans="1:19" x14ac:dyDescent="0.2">
      <c r="A48" s="22">
        <f>Data!A33</f>
        <v>46169</v>
      </c>
      <c r="B48" s="23">
        <f>Data!B33</f>
        <v>1</v>
      </c>
      <c r="C48" s="34">
        <f>Data!C33</f>
        <v>6024</v>
      </c>
      <c r="D48" s="35">
        <f>Data!D33</f>
        <v>6024</v>
      </c>
      <c r="E48" s="36">
        <f>Data!E33</f>
        <v>0</v>
      </c>
      <c r="F48" s="36">
        <f>Data!F33</f>
        <v>0</v>
      </c>
      <c r="G48" s="36">
        <f>Data!G33</f>
        <v>0</v>
      </c>
      <c r="H48" s="37" t="str">
        <f>Data!H33</f>
        <v>MULTIREPUESTOS CHINA PARTS 1668, C.A</v>
      </c>
      <c r="I48" s="35" t="str">
        <f>Data!I33</f>
        <v>J317555364</v>
      </c>
      <c r="J48" s="31">
        <f t="shared" si="0"/>
        <v>16055.153999999999</v>
      </c>
      <c r="K48" s="31">
        <f>Data!K33</f>
        <v>0</v>
      </c>
      <c r="L48" s="31">
        <f>Data!L33</f>
        <v>13840.65</v>
      </c>
      <c r="M48" s="31">
        <f t="shared" si="1"/>
        <v>2214.5039999999999</v>
      </c>
      <c r="N48" s="31">
        <v>0</v>
      </c>
      <c r="O48" s="31">
        <f t="shared" si="2"/>
        <v>0</v>
      </c>
      <c r="P48" s="31">
        <v>0</v>
      </c>
      <c r="Q48" s="31">
        <f t="shared" si="3"/>
        <v>0</v>
      </c>
      <c r="R48" s="31"/>
      <c r="S48" s="33">
        <v>0</v>
      </c>
    </row>
    <row r="49" spans="1:19" x14ac:dyDescent="0.2">
      <c r="A49" s="22">
        <f>Data!A34</f>
        <v>46169</v>
      </c>
      <c r="B49" s="23">
        <f>Data!B34</f>
        <v>1</v>
      </c>
      <c r="C49" s="34">
        <f>Data!C34</f>
        <v>2284</v>
      </c>
      <c r="D49" s="35">
        <f>Data!D34</f>
        <v>2284</v>
      </c>
      <c r="E49" s="36">
        <f>Data!E34</f>
        <v>0</v>
      </c>
      <c r="F49" s="36">
        <f>Data!F34</f>
        <v>0</v>
      </c>
      <c r="G49" s="36">
        <f>Data!G34</f>
        <v>0</v>
      </c>
      <c r="H49" s="37" t="str">
        <f>Data!H34</f>
        <v>REIKO IMPORT, C.A.</v>
      </c>
      <c r="I49" s="35" t="str">
        <f>Data!I34</f>
        <v>J298420065</v>
      </c>
      <c r="J49" s="31">
        <f t="shared" si="0"/>
        <v>280300.08</v>
      </c>
      <c r="K49" s="31">
        <f>Data!K34</f>
        <v>0</v>
      </c>
      <c r="L49" s="31">
        <f>Data!L34</f>
        <v>241638</v>
      </c>
      <c r="M49" s="31">
        <f t="shared" si="1"/>
        <v>38662.080000000002</v>
      </c>
      <c r="N49" s="31">
        <v>0</v>
      </c>
      <c r="O49" s="31">
        <f t="shared" si="2"/>
        <v>0</v>
      </c>
      <c r="P49" s="31">
        <v>0</v>
      </c>
      <c r="Q49" s="31">
        <f t="shared" si="3"/>
        <v>0</v>
      </c>
      <c r="R49" s="31"/>
      <c r="S49" s="33">
        <v>0</v>
      </c>
    </row>
    <row r="50" spans="1:19" x14ac:dyDescent="0.2">
      <c r="A50" s="22">
        <f>Data!A35</f>
        <v>46169</v>
      </c>
      <c r="B50" s="23">
        <f>Data!B35</f>
        <v>1</v>
      </c>
      <c r="C50" s="34">
        <f>Data!C35</f>
        <v>20315</v>
      </c>
      <c r="D50" s="35" t="str">
        <f>Data!D35</f>
        <v>ZZP0018130</v>
      </c>
      <c r="E50" s="36">
        <f>Data!E35</f>
        <v>0</v>
      </c>
      <c r="F50" s="36">
        <f>Data!F35</f>
        <v>0</v>
      </c>
      <c r="G50" s="36">
        <f>Data!G35</f>
        <v>0</v>
      </c>
      <c r="H50" s="37" t="str">
        <f>Data!H35</f>
        <v>PANADERIA, PASTELERIA Y DELICATESES AVINTES, C.A.</v>
      </c>
      <c r="I50" s="35" t="str">
        <f>Data!I35</f>
        <v>J502708405</v>
      </c>
      <c r="J50" s="31">
        <f t="shared" si="0"/>
        <v>4957.5731999999998</v>
      </c>
      <c r="K50" s="31">
        <f>Data!K35</f>
        <v>3229.44</v>
      </c>
      <c r="L50" s="31">
        <f>Data!L35</f>
        <v>1489.77</v>
      </c>
      <c r="M50" s="31">
        <f t="shared" si="1"/>
        <v>238.36320000000001</v>
      </c>
      <c r="N50" s="31">
        <v>0</v>
      </c>
      <c r="O50" s="31">
        <f t="shared" si="2"/>
        <v>0</v>
      </c>
      <c r="P50" s="31">
        <v>0</v>
      </c>
      <c r="Q50" s="31">
        <f t="shared" si="3"/>
        <v>0</v>
      </c>
      <c r="R50" s="31"/>
      <c r="S50" s="33">
        <v>0</v>
      </c>
    </row>
    <row r="51" spans="1:19" x14ac:dyDescent="0.2">
      <c r="A51" s="22">
        <f>Data!A36</f>
        <v>46171</v>
      </c>
      <c r="B51" s="23">
        <f>Data!B36</f>
        <v>1</v>
      </c>
      <c r="C51" s="34">
        <f>Data!C36</f>
        <v>89388</v>
      </c>
      <c r="D51" s="35" t="str">
        <f>Data!D36</f>
        <v>Z7C0028758</v>
      </c>
      <c r="E51" s="36">
        <f>Data!E36</f>
        <v>0</v>
      </c>
      <c r="F51" s="36">
        <f>Data!F36</f>
        <v>0</v>
      </c>
      <c r="G51" s="36">
        <f>Data!G36</f>
        <v>0</v>
      </c>
      <c r="H51" s="37" t="str">
        <f>Data!H36</f>
        <v>Pasta Morandi, C.A.</v>
      </c>
      <c r="I51" s="35" t="str">
        <f>Data!I36</f>
        <v>J001598693</v>
      </c>
      <c r="J51" s="31">
        <f t="shared" si="0"/>
        <v>13185.1052</v>
      </c>
      <c r="K51" s="31">
        <f>Data!K36</f>
        <v>0</v>
      </c>
      <c r="L51" s="31">
        <f>Data!L36</f>
        <v>11366.47</v>
      </c>
      <c r="M51" s="31">
        <f t="shared" si="1"/>
        <v>1818.6351999999999</v>
      </c>
      <c r="N51" s="31">
        <v>0</v>
      </c>
      <c r="O51" s="31">
        <f t="shared" si="2"/>
        <v>0</v>
      </c>
      <c r="P51" s="31">
        <v>0</v>
      </c>
      <c r="Q51" s="31">
        <f t="shared" si="3"/>
        <v>0</v>
      </c>
      <c r="R51" s="31"/>
      <c r="S51" s="33">
        <v>0</v>
      </c>
    </row>
    <row r="52" spans="1:19" x14ac:dyDescent="0.2">
      <c r="A52" s="22">
        <f>Data!A37</f>
        <v>46172</v>
      </c>
      <c r="B52" s="23">
        <f>Data!B37</f>
        <v>1</v>
      </c>
      <c r="C52" s="34">
        <f>Data!C37</f>
        <v>83903</v>
      </c>
      <c r="D52" s="35" t="str">
        <f>Data!D37</f>
        <v>Z7C0028754</v>
      </c>
      <c r="E52" s="36">
        <f>Data!E37</f>
        <v>0</v>
      </c>
      <c r="F52" s="36">
        <f>Data!F37</f>
        <v>0</v>
      </c>
      <c r="G52" s="36">
        <f>Data!G37</f>
        <v>0</v>
      </c>
      <c r="H52" s="37" t="str">
        <f>Data!H37</f>
        <v>INVERSIONES RG 11-32 C.A.</v>
      </c>
      <c r="I52" s="35" t="str">
        <f>Data!I37</f>
        <v>J308562157</v>
      </c>
      <c r="J52" s="31">
        <f t="shared" si="0"/>
        <v>14082.2492</v>
      </c>
      <c r="K52" s="31">
        <f>Data!K37</f>
        <v>0</v>
      </c>
      <c r="L52" s="31">
        <f>Data!L37</f>
        <v>12139.87</v>
      </c>
      <c r="M52" s="31">
        <f t="shared" si="1"/>
        <v>1942.3792000000001</v>
      </c>
      <c r="N52" s="31">
        <v>0</v>
      </c>
      <c r="O52" s="31">
        <f t="shared" si="2"/>
        <v>0</v>
      </c>
      <c r="P52" s="31">
        <v>0</v>
      </c>
      <c r="Q52" s="31">
        <f t="shared" si="3"/>
        <v>0</v>
      </c>
      <c r="R52" s="31"/>
      <c r="S52" s="33">
        <v>0</v>
      </c>
    </row>
    <row r="53" spans="1:19" x14ac:dyDescent="0.2">
      <c r="A53" s="22">
        <f>Data!A38</f>
        <v>46172</v>
      </c>
      <c r="B53" s="23">
        <f>Data!B38</f>
        <v>1</v>
      </c>
      <c r="C53" s="34">
        <f>Data!C38</f>
        <v>10692</v>
      </c>
      <c r="D53" s="35" t="str">
        <f>Data!D38</f>
        <v>Z7C0022860</v>
      </c>
      <c r="E53" s="36">
        <f>Data!E38</f>
        <v>0</v>
      </c>
      <c r="F53" s="36">
        <f>Data!F38</f>
        <v>0</v>
      </c>
      <c r="G53" s="36">
        <f>Data!G38</f>
        <v>0</v>
      </c>
      <c r="H53" s="37" t="str">
        <f>Data!H38</f>
        <v>FTL SBL CCS, C.A.</v>
      </c>
      <c r="I53" s="35" t="str">
        <f>Data!I38</f>
        <v>J501690260</v>
      </c>
      <c r="J53" s="31">
        <f t="shared" si="0"/>
        <v>59877.9588</v>
      </c>
      <c r="K53" s="31">
        <f>Data!K38</f>
        <v>0</v>
      </c>
      <c r="L53" s="31">
        <f>Data!L38</f>
        <v>51618.93</v>
      </c>
      <c r="M53" s="31">
        <f t="shared" si="1"/>
        <v>8259.0288</v>
      </c>
      <c r="N53" s="31">
        <v>0</v>
      </c>
      <c r="O53" s="31">
        <f t="shared" ref="O53:O57" si="4">N53*16/100</f>
        <v>0</v>
      </c>
      <c r="P53" s="31">
        <v>0</v>
      </c>
      <c r="Q53" s="31">
        <f t="shared" ref="Q53:Q57" si="5">P53*8/100</f>
        <v>0</v>
      </c>
      <c r="R53" s="31"/>
      <c r="S53" s="33">
        <v>0</v>
      </c>
    </row>
    <row r="54" spans="1:19" x14ac:dyDescent="0.2">
      <c r="A54" s="22">
        <f>Data!A39</f>
        <v>46173</v>
      </c>
      <c r="B54" s="23">
        <f>Data!B39</f>
        <v>1</v>
      </c>
      <c r="C54" s="34">
        <f>Data!C39</f>
        <v>55689</v>
      </c>
      <c r="D54" s="35" t="str">
        <f>Data!D39</f>
        <v>Z7C7038186</v>
      </c>
      <c r="E54" s="36">
        <f>Data!E39</f>
        <v>0</v>
      </c>
      <c r="F54" s="36">
        <f>Data!F39</f>
        <v>0</v>
      </c>
      <c r="G54" s="36">
        <f>Data!G39</f>
        <v>0</v>
      </c>
      <c r="H54" s="37" t="str">
        <f>Data!H39</f>
        <v>PROMOTORA METROPOLITANA, DE RESTAURANTES 25, C.A.</v>
      </c>
      <c r="I54" s="35" t="str">
        <f>Data!I39</f>
        <v>J311359036</v>
      </c>
      <c r="J54" s="31">
        <f t="shared" si="0"/>
        <v>13306.0816</v>
      </c>
      <c r="K54" s="31">
        <f>Data!K39</f>
        <v>0</v>
      </c>
      <c r="L54" s="31">
        <f>Data!L39</f>
        <v>11470.76</v>
      </c>
      <c r="M54" s="31">
        <f t="shared" si="1"/>
        <v>1835.3216</v>
      </c>
      <c r="N54" s="31">
        <v>0</v>
      </c>
      <c r="O54" s="31">
        <f t="shared" si="4"/>
        <v>0</v>
      </c>
      <c r="P54" s="31">
        <v>0</v>
      </c>
      <c r="Q54" s="31">
        <f t="shared" si="5"/>
        <v>0</v>
      </c>
      <c r="R54" s="31"/>
      <c r="S54" s="33">
        <v>0</v>
      </c>
    </row>
    <row r="55" spans="1:19" x14ac:dyDescent="0.2">
      <c r="A55" s="22">
        <f>Data!A40</f>
        <v>46168</v>
      </c>
      <c r="B55" s="23">
        <f>Data!B40</f>
        <v>1</v>
      </c>
      <c r="C55" s="34">
        <f>Data!C40</f>
        <v>7</v>
      </c>
      <c r="D55" s="35" t="str">
        <f>Data!D40</f>
        <v>00-000007</v>
      </c>
      <c r="E55" s="36">
        <f>Data!E40</f>
        <v>0</v>
      </c>
      <c r="F55" s="36">
        <f>Data!F40</f>
        <v>0</v>
      </c>
      <c r="G55" s="36">
        <f>Data!G40</f>
        <v>0</v>
      </c>
      <c r="H55" s="37" t="str">
        <f>Data!H40</f>
        <v>MULTISERVICIOS C.J.P.J.D 2025, C.A.</v>
      </c>
      <c r="I55" s="35" t="str">
        <f>Data!I40</f>
        <v>J507273164</v>
      </c>
      <c r="J55" s="31">
        <f t="shared" si="0"/>
        <v>96050.32</v>
      </c>
      <c r="K55" s="31">
        <f>Data!K40</f>
        <v>0</v>
      </c>
      <c r="L55" s="31">
        <f>Data!L40</f>
        <v>82802</v>
      </c>
      <c r="M55" s="31">
        <f t="shared" si="1"/>
        <v>13248.32</v>
      </c>
      <c r="N55" s="31">
        <v>0</v>
      </c>
      <c r="O55" s="31">
        <f t="shared" si="4"/>
        <v>0</v>
      </c>
      <c r="P55" s="31">
        <v>0</v>
      </c>
      <c r="Q55" s="31">
        <f t="shared" si="5"/>
        <v>0</v>
      </c>
      <c r="R55" s="31"/>
      <c r="S55" s="33">
        <v>0</v>
      </c>
    </row>
    <row r="56" spans="1:19" x14ac:dyDescent="0.2">
      <c r="A56" s="22">
        <f>Data!A41</f>
        <v>46171</v>
      </c>
      <c r="B56" s="23">
        <f>Data!B41</f>
        <v>1</v>
      </c>
      <c r="C56" s="34">
        <f>Data!C41</f>
        <v>8</v>
      </c>
      <c r="D56" s="35" t="str">
        <f>Data!D41</f>
        <v>00-000008</v>
      </c>
      <c r="E56" s="36">
        <f>Data!E41</f>
        <v>0</v>
      </c>
      <c r="F56" s="36">
        <f>Data!F41</f>
        <v>0</v>
      </c>
      <c r="G56" s="36">
        <f>Data!G41</f>
        <v>0</v>
      </c>
      <c r="H56" s="37" t="str">
        <f>Data!H41</f>
        <v>MULTISERVICIOS C.J.P.J.D 2025, C.A.</v>
      </c>
      <c r="I56" s="35" t="str">
        <f>Data!I41</f>
        <v>J507273164</v>
      </c>
      <c r="J56" s="31">
        <f t="shared" si="0"/>
        <v>383199.28360000002</v>
      </c>
      <c r="K56" s="31">
        <f>Data!K41</f>
        <v>0</v>
      </c>
      <c r="L56" s="31">
        <f>Data!L41</f>
        <v>330344.21000000002</v>
      </c>
      <c r="M56" s="31">
        <f t="shared" si="1"/>
        <v>52855.073600000003</v>
      </c>
      <c r="N56" s="31">
        <v>0</v>
      </c>
      <c r="O56" s="31">
        <f t="shared" si="4"/>
        <v>0</v>
      </c>
      <c r="P56" s="31">
        <v>0</v>
      </c>
      <c r="Q56" s="31">
        <f t="shared" si="5"/>
        <v>0</v>
      </c>
      <c r="R56" s="31"/>
      <c r="S56" s="33">
        <v>0</v>
      </c>
    </row>
    <row r="57" spans="1:19" ht="12" thickBot="1" x14ac:dyDescent="0.25">
      <c r="A57" s="22">
        <f>Data!A42</f>
        <v>46170</v>
      </c>
      <c r="B57" s="23">
        <f>Data!B42</f>
        <v>1</v>
      </c>
      <c r="C57" s="34">
        <f>Data!C42</f>
        <v>3718</v>
      </c>
      <c r="D57" s="35" t="str">
        <f>Data!D42</f>
        <v>1FC7002209</v>
      </c>
      <c r="E57" s="36">
        <f>Data!E42</f>
        <v>0</v>
      </c>
      <c r="F57" s="36">
        <f>Data!F42</f>
        <v>0</v>
      </c>
      <c r="G57" s="36">
        <f>Data!G42</f>
        <v>0</v>
      </c>
      <c r="H57" s="37" t="str">
        <f>Data!H42</f>
        <v>DE TODO RESPUESTO AUTOMOTRIZ, C.A.</v>
      </c>
      <c r="I57" s="35" t="str">
        <f>Data!I42</f>
        <v>J298830514</v>
      </c>
      <c r="J57" s="31">
        <f t="shared" si="0"/>
        <v>27226.789199999999</v>
      </c>
      <c r="K57" s="31">
        <f>Data!K42</f>
        <v>0</v>
      </c>
      <c r="L57" s="31">
        <f>Data!L42</f>
        <v>23471.37</v>
      </c>
      <c r="M57" s="31">
        <f t="shared" si="1"/>
        <v>3755.4191999999998</v>
      </c>
      <c r="N57" s="31">
        <v>0</v>
      </c>
      <c r="O57" s="31">
        <f t="shared" si="4"/>
        <v>0</v>
      </c>
      <c r="P57" s="31">
        <v>0</v>
      </c>
      <c r="Q57" s="31">
        <f t="shared" si="5"/>
        <v>0</v>
      </c>
      <c r="R57" s="31"/>
      <c r="S57" s="33">
        <v>0</v>
      </c>
    </row>
    <row r="58" spans="1:19" ht="12" thickBot="1" x14ac:dyDescent="0.25">
      <c r="A58" s="72" t="s">
        <v>42</v>
      </c>
      <c r="B58" s="73"/>
      <c r="C58" s="73"/>
      <c r="D58" s="73"/>
      <c r="E58" s="73"/>
      <c r="F58" s="73"/>
      <c r="G58" s="73"/>
      <c r="H58" s="73"/>
      <c r="I58" s="74"/>
      <c r="J58" s="7">
        <f>SUM(J17:J57)</f>
        <v>2448566.432</v>
      </c>
      <c r="K58" s="7">
        <f>SUM(K17:K57)</f>
        <v>17614.23</v>
      </c>
      <c r="L58" s="7">
        <f>SUM(L17:L57)</f>
        <v>2095648.45</v>
      </c>
      <c r="M58" s="7">
        <f>SUM(M17:M57)</f>
        <v>335303.75200000004</v>
      </c>
      <c r="N58" s="7">
        <f>SUM(N17:N52)</f>
        <v>0</v>
      </c>
      <c r="O58" s="7">
        <f>SUM(O17:O52)</f>
        <v>0</v>
      </c>
      <c r="P58" s="7">
        <f>SUM(P17:P52)</f>
        <v>0</v>
      </c>
      <c r="Q58" s="7">
        <f>SUM(Q17:Q52)</f>
        <v>0</v>
      </c>
      <c r="R58" s="7"/>
      <c r="S58" s="8">
        <f>SUM(S17:S52)</f>
        <v>0</v>
      </c>
    </row>
    <row r="62" spans="1:19" x14ac:dyDescent="0.2">
      <c r="N62" s="9" t="s">
        <v>43</v>
      </c>
      <c r="O62" s="10"/>
      <c r="P62" s="10"/>
      <c r="Q62" s="10"/>
    </row>
    <row r="63" spans="1:19" x14ac:dyDescent="0.2">
      <c r="N63" s="11" t="s">
        <v>44</v>
      </c>
      <c r="O63" s="11"/>
      <c r="P63" s="12"/>
      <c r="Q63" s="12"/>
      <c r="R63" s="14" t="s">
        <v>9</v>
      </c>
      <c r="S63" s="14" t="s">
        <v>44</v>
      </c>
    </row>
    <row r="64" spans="1:19" x14ac:dyDescent="0.2">
      <c r="N64" s="75" t="s">
        <v>10</v>
      </c>
      <c r="O64" s="75" t="s">
        <v>11</v>
      </c>
      <c r="P64" s="75" t="s">
        <v>11</v>
      </c>
      <c r="Q64" s="75"/>
      <c r="R64" s="4">
        <v>2961045.9400000004</v>
      </c>
      <c r="S64" s="4">
        <v>0</v>
      </c>
    </row>
    <row r="65" spans="14:19" x14ac:dyDescent="0.2">
      <c r="N65" s="75" t="s">
        <v>12</v>
      </c>
      <c r="O65" s="75" t="s">
        <v>11</v>
      </c>
      <c r="P65" s="75" t="s">
        <v>11</v>
      </c>
      <c r="Q65" s="75"/>
      <c r="R65" s="4">
        <v>0</v>
      </c>
      <c r="S65" s="4">
        <v>0</v>
      </c>
    </row>
    <row r="66" spans="14:19" x14ac:dyDescent="0.2">
      <c r="N66" s="75" t="s">
        <v>13</v>
      </c>
      <c r="O66" s="75"/>
      <c r="P66" s="75" t="s">
        <v>11</v>
      </c>
      <c r="Q66" s="75"/>
      <c r="R66" s="4">
        <v>0</v>
      </c>
      <c r="S66" s="4">
        <v>0</v>
      </c>
    </row>
    <row r="67" spans="14:19" x14ac:dyDescent="0.2">
      <c r="N67" s="77" t="s">
        <v>14</v>
      </c>
      <c r="O67" s="77"/>
      <c r="P67" s="77"/>
      <c r="Q67" s="77"/>
      <c r="R67" s="4">
        <f>SUM(R64:R66)</f>
        <v>2961045.9400000004</v>
      </c>
      <c r="S67" s="4">
        <v>0</v>
      </c>
    </row>
    <row r="68" spans="14:19" x14ac:dyDescent="0.2">
      <c r="N68" s="76" t="s">
        <v>15</v>
      </c>
      <c r="O68" s="76"/>
      <c r="P68" s="76"/>
      <c r="Q68" s="76"/>
      <c r="R68" s="13">
        <v>0</v>
      </c>
      <c r="S68" s="13">
        <f>SUM(S64:S67)</f>
        <v>0</v>
      </c>
    </row>
    <row r="70" spans="14:19" x14ac:dyDescent="0.2">
      <c r="N70" s="9" t="s">
        <v>45</v>
      </c>
    </row>
    <row r="71" spans="14:19" x14ac:dyDescent="0.2">
      <c r="N71" s="11" t="s">
        <v>46</v>
      </c>
      <c r="O71" s="11"/>
      <c r="P71" s="12"/>
      <c r="Q71" s="12"/>
      <c r="R71" s="14" t="s">
        <v>9</v>
      </c>
      <c r="S71" s="14" t="s">
        <v>47</v>
      </c>
    </row>
    <row r="72" spans="14:19" x14ac:dyDescent="0.2">
      <c r="N72" s="75" t="s">
        <v>16</v>
      </c>
      <c r="O72" s="75" t="s">
        <v>11</v>
      </c>
      <c r="P72" s="75"/>
      <c r="Q72" s="75"/>
      <c r="R72" s="4">
        <f>K58</f>
        <v>17614.23</v>
      </c>
      <c r="S72" s="4">
        <v>0</v>
      </c>
    </row>
    <row r="73" spans="14:19" x14ac:dyDescent="0.2">
      <c r="N73" s="75" t="s">
        <v>17</v>
      </c>
      <c r="O73" s="75"/>
      <c r="P73" s="75"/>
      <c r="Q73" s="75"/>
      <c r="R73" s="4">
        <v>0</v>
      </c>
      <c r="S73" s="4">
        <v>0</v>
      </c>
    </row>
    <row r="74" spans="14:19" x14ac:dyDescent="0.2">
      <c r="N74" s="75" t="s">
        <v>18</v>
      </c>
      <c r="O74" s="75" t="s">
        <v>11</v>
      </c>
      <c r="P74" s="75" t="s">
        <v>11</v>
      </c>
      <c r="Q74" s="75"/>
      <c r="R74" s="4">
        <f>L58</f>
        <v>2095648.45</v>
      </c>
      <c r="S74" s="4">
        <f>R74*16/100</f>
        <v>335303.75199999998</v>
      </c>
    </row>
    <row r="75" spans="14:19" x14ac:dyDescent="0.2">
      <c r="N75" s="75" t="s">
        <v>19</v>
      </c>
      <c r="O75" s="75"/>
      <c r="P75" s="75"/>
      <c r="Q75" s="75"/>
      <c r="R75" s="4">
        <v>0</v>
      </c>
      <c r="S75" s="4">
        <v>0</v>
      </c>
    </row>
    <row r="76" spans="14:19" x14ac:dyDescent="0.2">
      <c r="N76" s="76" t="s">
        <v>20</v>
      </c>
      <c r="O76" s="76" t="s">
        <v>11</v>
      </c>
      <c r="P76" s="76" t="s">
        <v>11</v>
      </c>
      <c r="Q76" s="76"/>
      <c r="R76" s="15">
        <f>SUM(R72:R75)</f>
        <v>2113262.6800000002</v>
      </c>
      <c r="S76" s="15">
        <f>SUM(S72:S75)</f>
        <v>335303.75199999998</v>
      </c>
    </row>
    <row r="77" spans="14:19" x14ac:dyDescent="0.2">
      <c r="N77" s="75" t="s">
        <v>21</v>
      </c>
      <c r="O77" s="75"/>
      <c r="P77" s="75"/>
      <c r="Q77" s="75"/>
      <c r="R77" s="4">
        <v>0</v>
      </c>
      <c r="S77" s="4">
        <v>0</v>
      </c>
    </row>
    <row r="78" spans="14:19" x14ac:dyDescent="0.2">
      <c r="N78" s="76" t="s">
        <v>22</v>
      </c>
      <c r="O78" s="76"/>
      <c r="P78" s="76" t="s">
        <v>11</v>
      </c>
      <c r="Q78" s="76"/>
      <c r="R78" s="16">
        <f>R76-R77</f>
        <v>2113262.6800000002</v>
      </c>
      <c r="S78" s="16">
        <f>S76-S77</f>
        <v>335303.75199999998</v>
      </c>
    </row>
    <row r="79" spans="14:19" x14ac:dyDescent="0.2">
      <c r="N79" s="1" t="s">
        <v>130</v>
      </c>
      <c r="S79" s="90">
        <f>-S78</f>
        <v>-335303.75199999998</v>
      </c>
    </row>
    <row r="80" spans="14:19" ht="15" customHeight="1" x14ac:dyDescent="0.2">
      <c r="N80" s="76" t="s">
        <v>48</v>
      </c>
      <c r="O80" s="76"/>
      <c r="P80" s="76"/>
      <c r="Q80" s="76"/>
      <c r="R80" s="76"/>
      <c r="S80" s="76"/>
    </row>
    <row r="81" spans="14:19" ht="15" customHeight="1" x14ac:dyDescent="0.2">
      <c r="N81" s="76" t="s">
        <v>23</v>
      </c>
      <c r="O81" s="76"/>
      <c r="P81" s="76"/>
      <c r="Q81" s="76"/>
      <c r="R81" s="76"/>
      <c r="S81" s="76"/>
    </row>
    <row r="82" spans="14:19" x14ac:dyDescent="0.2">
      <c r="N82" s="75" t="s">
        <v>24</v>
      </c>
      <c r="O82" s="75" t="s">
        <v>25</v>
      </c>
      <c r="P82" s="75"/>
      <c r="Q82" s="75"/>
      <c r="R82" s="40">
        <v>0</v>
      </c>
      <c r="S82" s="4">
        <v>0</v>
      </c>
    </row>
    <row r="83" spans="14:19" x14ac:dyDescent="0.2">
      <c r="N83" s="75" t="s">
        <v>26</v>
      </c>
      <c r="O83" s="75" t="s">
        <v>25</v>
      </c>
      <c r="P83" s="75"/>
      <c r="Q83" s="75"/>
      <c r="R83" s="40">
        <v>0</v>
      </c>
      <c r="S83" s="4">
        <v>0</v>
      </c>
    </row>
    <row r="84" spans="14:19" x14ac:dyDescent="0.2">
      <c r="N84" s="75" t="s">
        <v>27</v>
      </c>
      <c r="O84" s="75" t="s">
        <v>25</v>
      </c>
      <c r="P84" s="75"/>
      <c r="Q84" s="75"/>
      <c r="R84" s="40">
        <v>0</v>
      </c>
      <c r="S84" s="4">
        <v>0</v>
      </c>
    </row>
    <row r="85" spans="14:19" x14ac:dyDescent="0.2">
      <c r="N85" s="75" t="s">
        <v>28</v>
      </c>
      <c r="O85" s="75"/>
      <c r="P85" s="75" t="s">
        <v>11</v>
      </c>
      <c r="Q85" s="75"/>
      <c r="R85" s="40">
        <v>0</v>
      </c>
      <c r="S85" s="4">
        <v>0</v>
      </c>
    </row>
    <row r="86" spans="14:19" x14ac:dyDescent="0.2">
      <c r="N86" s="75" t="s">
        <v>29</v>
      </c>
      <c r="O86" s="75"/>
      <c r="P86" s="75" t="s">
        <v>25</v>
      </c>
      <c r="Q86" s="75"/>
      <c r="R86" s="40">
        <v>0</v>
      </c>
      <c r="S86" s="4">
        <v>0</v>
      </c>
    </row>
    <row r="87" spans="14:19" x14ac:dyDescent="0.2">
      <c r="N87" s="75" t="s">
        <v>30</v>
      </c>
      <c r="O87" s="75" t="s">
        <v>25</v>
      </c>
      <c r="P87" s="75"/>
      <c r="Q87" s="75"/>
      <c r="R87" s="40">
        <v>0</v>
      </c>
      <c r="S87" s="4">
        <v>0</v>
      </c>
    </row>
    <row r="88" spans="14:19" x14ac:dyDescent="0.2">
      <c r="N88" s="75" t="s">
        <v>31</v>
      </c>
      <c r="O88" s="75"/>
      <c r="P88" s="75"/>
      <c r="Q88" s="75"/>
      <c r="R88" s="40">
        <v>0</v>
      </c>
      <c r="S88" s="4">
        <v>0</v>
      </c>
    </row>
    <row r="89" spans="14:19" x14ac:dyDescent="0.2">
      <c r="N89" s="78" t="s">
        <v>32</v>
      </c>
      <c r="O89" s="78"/>
      <c r="P89" s="78" t="s">
        <v>25</v>
      </c>
      <c r="Q89" s="78"/>
      <c r="R89" s="41">
        <f>SUM(R82:R88)</f>
        <v>0</v>
      </c>
      <c r="S89" s="41">
        <f>SUM(S82:S88)</f>
        <v>0</v>
      </c>
    </row>
  </sheetData>
  <mergeCells count="34">
    <mergeCell ref="B8:J8"/>
    <mergeCell ref="B3:J3"/>
    <mergeCell ref="B2:J2"/>
    <mergeCell ref="B10:J10"/>
    <mergeCell ref="B11:J11"/>
    <mergeCell ref="B6:G6"/>
    <mergeCell ref="B7:G7"/>
    <mergeCell ref="N86:Q86"/>
    <mergeCell ref="N87:Q87"/>
    <mergeCell ref="N88:Q88"/>
    <mergeCell ref="N89:Q89"/>
    <mergeCell ref="N80:S80"/>
    <mergeCell ref="N81:S81"/>
    <mergeCell ref="N85:Q85"/>
    <mergeCell ref="N76:Q76"/>
    <mergeCell ref="N77:Q77"/>
    <mergeCell ref="N82:Q82"/>
    <mergeCell ref="N83:Q83"/>
    <mergeCell ref="N84:Q84"/>
    <mergeCell ref="N78:Q78"/>
    <mergeCell ref="N75:Q75"/>
    <mergeCell ref="L15:M15"/>
    <mergeCell ref="N15:O15"/>
    <mergeCell ref="P15:Q15"/>
    <mergeCell ref="N68:Q68"/>
    <mergeCell ref="N67:Q67"/>
    <mergeCell ref="N65:Q65"/>
    <mergeCell ref="N64:Q64"/>
    <mergeCell ref="N66:Q66"/>
    <mergeCell ref="R15:S15"/>
    <mergeCell ref="A58:I58"/>
    <mergeCell ref="N72:Q72"/>
    <mergeCell ref="N73:Q73"/>
    <mergeCell ref="N74:Q7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Libro de Compras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2026-04-27T12:39:49Z</dcterms:created>
  <dcterms:modified xsi:type="dcterms:W3CDTF">2026-06-16T02:41:22Z</dcterms:modified>
</cp:coreProperties>
</file>