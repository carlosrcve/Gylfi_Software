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s fiscales\King Dirver, C.A\IVA MAYO 2026\"/>
    </mc:Choice>
  </mc:AlternateContent>
  <xr:revisionPtr revIDLastSave="0" documentId="13_ncr:1_{2D20092B-918F-4E1F-BE1A-A606DBB6EE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bro de Venta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0" i="1" l="1"/>
  <c r="Q39" i="1"/>
  <c r="F13" i="1" l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Q13" i="1"/>
  <c r="Q14" i="1"/>
  <c r="Q15" i="1"/>
  <c r="Q16" i="1"/>
  <c r="Q17" i="1"/>
  <c r="Q18" i="1"/>
  <c r="Q19" i="1"/>
  <c r="P13" i="1"/>
  <c r="P14" i="1"/>
  <c r="P15" i="1"/>
  <c r="P16" i="1"/>
  <c r="P17" i="1"/>
  <c r="P18" i="1"/>
  <c r="P19" i="1"/>
  <c r="O13" i="1"/>
  <c r="O14" i="1"/>
  <c r="O15" i="1"/>
  <c r="O16" i="1"/>
  <c r="O17" i="1"/>
  <c r="O18" i="1"/>
  <c r="O19" i="1"/>
  <c r="M13" i="1"/>
  <c r="M14" i="1"/>
  <c r="M15" i="1"/>
  <c r="M16" i="1"/>
  <c r="M17" i="1"/>
  <c r="M18" i="1"/>
  <c r="M19" i="1"/>
  <c r="N13" i="1"/>
  <c r="N14" i="1"/>
  <c r="N15" i="1"/>
  <c r="N16" i="1"/>
  <c r="N17" i="1"/>
  <c r="N18" i="1"/>
  <c r="N19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C13" i="1"/>
  <c r="C14" i="1"/>
  <c r="C15" i="1"/>
  <c r="C16" i="1"/>
  <c r="C17" i="1"/>
  <c r="C18" i="1"/>
  <c r="C19" i="1"/>
  <c r="B13" i="1"/>
  <c r="B14" i="1"/>
  <c r="B15" i="1"/>
  <c r="B16" i="1"/>
  <c r="B17" i="1"/>
  <c r="B18" i="1"/>
  <c r="B19" i="1"/>
  <c r="A13" i="1"/>
  <c r="A14" i="1"/>
  <c r="A15" i="1"/>
  <c r="A16" i="1"/>
  <c r="A17" i="1"/>
  <c r="A18" i="1"/>
  <c r="A19" i="1"/>
  <c r="Q3" i="2"/>
  <c r="Q4" i="2"/>
  <c r="Q5" i="2"/>
  <c r="Q6" i="2"/>
  <c r="M6" i="2" s="1"/>
  <c r="Q7" i="2"/>
  <c r="Q8" i="2"/>
  <c r="M8" i="2" s="1"/>
  <c r="Q9" i="2"/>
  <c r="M5" i="2"/>
  <c r="M7" i="2"/>
  <c r="M9" i="2"/>
  <c r="M4" i="2"/>
  <c r="M3" i="2"/>
  <c r="N12" i="1" l="1"/>
  <c r="F12" i="1"/>
  <c r="G12" i="1"/>
  <c r="H12" i="1"/>
  <c r="I12" i="1"/>
  <c r="J12" i="1"/>
  <c r="K12" i="1"/>
  <c r="L12" i="1"/>
  <c r="O12" i="1"/>
  <c r="P12" i="1"/>
  <c r="D12" i="1"/>
  <c r="B12" i="1"/>
  <c r="C12" i="1"/>
  <c r="E12" i="1"/>
  <c r="A12" i="1"/>
  <c r="Q2" i="2"/>
  <c r="M2" i="2" s="1"/>
  <c r="M12" i="1" s="1"/>
  <c r="Q12" i="1" l="1"/>
  <c r="Q20" i="1" s="1"/>
  <c r="Q30" i="1" s="1"/>
  <c r="M20" i="1"/>
  <c r="O20" i="1"/>
  <c r="N20" i="1"/>
  <c r="Q26" i="1" s="1"/>
  <c r="Q29" i="1" l="1"/>
</calcChain>
</file>

<file path=xl/sharedStrings.xml><?xml version="1.0" encoding="utf-8"?>
<sst xmlns="http://schemas.openxmlformats.org/spreadsheetml/2006/main" count="101" uniqueCount="75">
  <si>
    <t>Ventas Internas Contribuyentes / No contribuyentes</t>
  </si>
  <si>
    <t>Fecha de Factura</t>
  </si>
  <si>
    <t>Nombre y Apellido o Razón Social</t>
  </si>
  <si>
    <t>R.I.F.</t>
  </si>
  <si>
    <t>Número de Factura</t>
  </si>
  <si>
    <t>Num. Control de Factura</t>
  </si>
  <si>
    <t>Nro de Máquina</t>
  </si>
  <si>
    <t>Reporte Z</t>
  </si>
  <si>
    <t>Nro Serie Factura</t>
  </si>
  <si>
    <t>Nro. Última Factura</t>
  </si>
  <si>
    <t>Número Nota Débito</t>
  </si>
  <si>
    <t>Número de Nota Crédito</t>
  </si>
  <si>
    <t>Número de Factura Afectada</t>
  </si>
  <si>
    <t>Total Ventas Incluyendo el IVA</t>
  </si>
  <si>
    <t>Ventas Exentas</t>
  </si>
  <si>
    <t>Base Imponible</t>
  </si>
  <si>
    <t>% Alícuota</t>
  </si>
  <si>
    <t>Débito Fiscal</t>
  </si>
  <si>
    <t>TOTALES:</t>
  </si>
  <si>
    <t xml:space="preserve">Razon Social: </t>
  </si>
  <si>
    <t>KING DRIVER, C.A.</t>
  </si>
  <si>
    <t>R.I.F:</t>
  </si>
  <si>
    <t>J507757188</t>
  </si>
  <si>
    <t>Direccion</t>
  </si>
  <si>
    <t>AV. JOSE ANTONIO PAEZ EDIF RESIDENCIAS 2000 RESIDENCIAS CECILIA PISO PH APT 43 URB EL PARAISO CARACAS DISTRITO CAPITAL ZONA POSTAL 1020.</t>
  </si>
  <si>
    <t>Periodo:</t>
  </si>
  <si>
    <t>Fecha</t>
  </si>
  <si>
    <t>Libro de Ventas</t>
  </si>
  <si>
    <t>Resumen Débitos Fiscales</t>
  </si>
  <si>
    <t>-</t>
  </si>
  <si>
    <t>DEBITOS FISCALES</t>
  </si>
  <si>
    <t>BASE IMPONIBLE</t>
  </si>
  <si>
    <t>Ventas internas no gravadas</t>
  </si>
  <si>
    <t>Ventas internas gravadas por alícuota general</t>
  </si>
  <si>
    <t>Ajustes a los débitos fiscales de períodos anteriores</t>
  </si>
  <si>
    <t>Total ventas y débitos fiscal para efectos de determinación</t>
  </si>
  <si>
    <t>Total Débitos Fiscales.</t>
  </si>
  <si>
    <t>Resumen Créditos Fiscales</t>
  </si>
  <si>
    <t>CREDITOS FISCALES</t>
  </si>
  <si>
    <t>Compras no gravadas y/o sin derecho a crédito fiscal</t>
  </si>
  <si>
    <t>Importación gravadas por alícuota general</t>
  </si>
  <si>
    <t>Compras internas gravadas por alícuota general</t>
  </si>
  <si>
    <t>Compras internas gravadas por alícuota reducida</t>
  </si>
  <si>
    <t>Total compras y créditos fiscales del periodo</t>
  </si>
  <si>
    <t>Ajustes a los créditos fiscales de períodos anteriores</t>
  </si>
  <si>
    <t>Total Créditos Fiscales</t>
  </si>
  <si>
    <t>AUTOLIQUIDACION</t>
  </si>
  <si>
    <t>TOTAL CUOTA TRIBUTARIA DEL PERIODO</t>
  </si>
  <si>
    <t>Anticipo Iva semana anterior</t>
  </si>
  <si>
    <t>Excedentes créditos fiscales para el mes siguiente</t>
  </si>
  <si>
    <t>Retenciones Acumuladas por descontar</t>
  </si>
  <si>
    <t>Retenciones del Periodo</t>
  </si>
  <si>
    <t>Total Retenciones</t>
  </si>
  <si>
    <t>Retenciones soportadas y descontadas en esta declaración</t>
  </si>
  <si>
    <t>Saldo de Retenciones de IVA no aplicado</t>
  </si>
  <si>
    <t>TOTAL A PAGAR</t>
  </si>
  <si>
    <t>HERNAN PEDREAÑEZ</t>
  </si>
  <si>
    <t>V12728824</t>
  </si>
  <si>
    <t>00-0001</t>
  </si>
  <si>
    <t>00-0002</t>
  </si>
  <si>
    <t>FANCISCO MADRIZ</t>
  </si>
  <si>
    <t>V28023800</t>
  </si>
  <si>
    <t>00-0003</t>
  </si>
  <si>
    <t>00-0004</t>
  </si>
  <si>
    <t>EDUARDO DOS SANTOS</t>
  </si>
  <si>
    <t>V16115512</t>
  </si>
  <si>
    <t>00-0005</t>
  </si>
  <si>
    <t>JOSE BRAVO</t>
  </si>
  <si>
    <t>V9376138</t>
  </si>
  <si>
    <t>00-0006</t>
  </si>
  <si>
    <t>00-0007</t>
  </si>
  <si>
    <t>JONATHAN APONTE</t>
  </si>
  <si>
    <t>V22764031</t>
  </si>
  <si>
    <t>00-0008</t>
  </si>
  <si>
    <t>Prorrata de Creditos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</si>
</sst>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yyyy\-mm\-dd"/>
    <numFmt numFmtId="165" formatCode="00000"/>
    <numFmt numFmtId="166" formatCode="0000"/>
    <numFmt numFmtId="167" formatCode="_ * #,##0.00_ ;_ * \(#,##0.00\)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3" borderId="2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vertical="center"/>
    </xf>
    <xf numFmtId="0" fontId="3" fillId="3" borderId="0" xfId="0" applyFont="1" applyFill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3" borderId="7" xfId="0" applyFont="1" applyFill="1" applyBorder="1"/>
    <xf numFmtId="0" fontId="4" fillId="3" borderId="0" xfId="0" applyFont="1" applyFill="1"/>
    <xf numFmtId="0" fontId="3" fillId="3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right"/>
    </xf>
    <xf numFmtId="4" fontId="4" fillId="3" borderId="1" xfId="0" applyNumberFormat="1" applyFont="1" applyFill="1" applyBorder="1"/>
    <xf numFmtId="0" fontId="5" fillId="4" borderId="0" xfId="0" applyFont="1" applyFill="1"/>
    <xf numFmtId="0" fontId="3" fillId="4" borderId="0" xfId="0" applyFont="1" applyFill="1"/>
    <xf numFmtId="4" fontId="5" fillId="4" borderId="0" xfId="0" applyNumberFormat="1" applyFont="1" applyFill="1" applyAlignment="1">
      <alignment horizontal="right"/>
    </xf>
    <xf numFmtId="0" fontId="7" fillId="4" borderId="0" xfId="0" applyFont="1" applyFill="1"/>
    <xf numFmtId="0" fontId="6" fillId="4" borderId="0" xfId="0" applyFont="1" applyFill="1"/>
    <xf numFmtId="0" fontId="7" fillId="5" borderId="0" xfId="0" applyFont="1" applyFill="1"/>
    <xf numFmtId="0" fontId="6" fillId="6" borderId="0" xfId="0" applyFont="1" applyFill="1"/>
    <xf numFmtId="0" fontId="3" fillId="7" borderId="0" xfId="0" applyFont="1" applyFill="1"/>
    <xf numFmtId="4" fontId="6" fillId="6" borderId="0" xfId="0" applyNumberFormat="1" applyFont="1" applyFill="1" applyAlignment="1">
      <alignment horizontal="right"/>
    </xf>
    <xf numFmtId="43" fontId="7" fillId="4" borderId="0" xfId="1" applyFont="1" applyFill="1" applyAlignment="1">
      <alignment horizontal="right"/>
    </xf>
    <xf numFmtId="43" fontId="6" fillId="4" borderId="0" xfId="1" applyFont="1" applyFill="1" applyAlignment="1">
      <alignment horizontal="right"/>
    </xf>
    <xf numFmtId="43" fontId="6" fillId="6" borderId="0" xfId="1" applyFont="1" applyFill="1" applyAlignment="1">
      <alignment horizontal="right"/>
    </xf>
    <xf numFmtId="43" fontId="5" fillId="4" borderId="0" xfId="1" applyFont="1" applyFill="1" applyAlignment="1">
      <alignment horizontal="right"/>
    </xf>
    <xf numFmtId="43" fontId="7" fillId="5" borderId="0" xfId="1" applyFont="1" applyFill="1" applyAlignment="1">
      <alignment horizontal="right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3" fillId="3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0" xfId="0" applyFont="1" applyFill="1" applyBorder="1"/>
    <xf numFmtId="0" fontId="3" fillId="3" borderId="11" xfId="0" applyFont="1" applyFill="1" applyBorder="1"/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14" fontId="2" fillId="3" borderId="8" xfId="0" applyNumberFormat="1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166" fontId="3" fillId="3" borderId="1" xfId="0" applyNumberFormat="1" applyFont="1" applyFill="1" applyBorder="1" applyAlignment="1">
      <alignment horizontal="center"/>
    </xf>
    <xf numFmtId="167" fontId="6" fillId="6" borderId="0" xfId="1" applyNumberFormat="1" applyFont="1" applyFill="1" applyAlignment="1">
      <alignment horizontal="right"/>
    </xf>
    <xf numFmtId="0" fontId="3" fillId="3" borderId="1" xfId="0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topLeftCell="D9" workbookViewId="0">
      <selection activeCell="P20" sqref="P20"/>
    </sheetView>
  </sheetViews>
  <sheetFormatPr baseColWidth="10" defaultColWidth="9.140625" defaultRowHeight="11.25" x14ac:dyDescent="0.2"/>
  <cols>
    <col min="1" max="1" width="12" style="8" customWidth="1"/>
    <col min="2" max="2" width="35" style="8" customWidth="1"/>
    <col min="3" max="3" width="15" style="8" customWidth="1"/>
    <col min="4" max="6" width="12" style="8" customWidth="1"/>
    <col min="7" max="9" width="10" style="8" customWidth="1"/>
    <col min="10" max="11" width="12" style="8" customWidth="1"/>
    <col min="12" max="12" width="15" style="8" customWidth="1"/>
    <col min="13" max="13" width="18" style="8" customWidth="1"/>
    <col min="14" max="15" width="15" style="8" customWidth="1"/>
    <col min="16" max="16" width="10" style="8" customWidth="1"/>
    <col min="17" max="17" width="15" style="8" customWidth="1"/>
    <col min="18" max="16384" width="9.140625" style="8"/>
  </cols>
  <sheetData>
    <row r="1" spans="1:17" x14ac:dyDescent="0.2">
      <c r="A1" s="7"/>
    </row>
    <row r="2" spans="1:17" x14ac:dyDescent="0.2">
      <c r="A2" s="1" t="s">
        <v>19</v>
      </c>
      <c r="B2" s="37" t="s">
        <v>20</v>
      </c>
      <c r="C2" s="37"/>
      <c r="D2" s="37"/>
      <c r="E2" s="37"/>
      <c r="F2" s="37"/>
      <c r="G2" s="38"/>
    </row>
    <row r="3" spans="1:17" x14ac:dyDescent="0.2">
      <c r="A3" s="2" t="s">
        <v>21</v>
      </c>
      <c r="B3" s="39" t="s">
        <v>22</v>
      </c>
      <c r="C3" s="39"/>
      <c r="D3" s="39"/>
      <c r="E3" s="39"/>
      <c r="F3" s="39"/>
      <c r="G3" s="40"/>
    </row>
    <row r="4" spans="1:17" ht="27.75" customHeight="1" x14ac:dyDescent="0.2">
      <c r="A4" s="3" t="s">
        <v>23</v>
      </c>
      <c r="B4" s="41" t="s">
        <v>24</v>
      </c>
      <c r="C4" s="41"/>
      <c r="D4" s="41"/>
      <c r="E4" s="41"/>
      <c r="F4" s="41"/>
      <c r="G4" s="42"/>
    </row>
    <row r="5" spans="1:17" x14ac:dyDescent="0.2">
      <c r="A5" s="2" t="s">
        <v>27</v>
      </c>
      <c r="B5" s="4"/>
      <c r="C5" s="4"/>
      <c r="D5" s="4"/>
      <c r="E5" s="4"/>
      <c r="F5" s="4"/>
      <c r="G5" s="5"/>
    </row>
    <row r="6" spans="1:17" x14ac:dyDescent="0.2">
      <c r="A6" s="2" t="s">
        <v>25</v>
      </c>
      <c r="B6" s="39">
        <v>202605</v>
      </c>
      <c r="C6" s="39"/>
      <c r="D6" s="39"/>
      <c r="E6" s="39"/>
      <c r="F6" s="39"/>
      <c r="G6" s="40"/>
    </row>
    <row r="7" spans="1:17" x14ac:dyDescent="0.2">
      <c r="A7" s="6" t="s">
        <v>26</v>
      </c>
      <c r="B7" s="43">
        <v>46173</v>
      </c>
      <c r="C7" s="44"/>
      <c r="D7" s="44"/>
      <c r="E7" s="44"/>
      <c r="F7" s="44"/>
      <c r="G7" s="45"/>
    </row>
    <row r="8" spans="1:17" x14ac:dyDescent="0.2">
      <c r="A8" s="7"/>
    </row>
    <row r="9" spans="1:17" x14ac:dyDescent="0.2">
      <c r="A9" s="7"/>
    </row>
    <row r="10" spans="1:17" x14ac:dyDescent="0.2">
      <c r="O10" s="34" t="s">
        <v>0</v>
      </c>
      <c r="P10" s="35"/>
      <c r="Q10" s="36"/>
    </row>
    <row r="11" spans="1:17" ht="22.5" x14ac:dyDescent="0.2">
      <c r="A11" s="9" t="s">
        <v>1</v>
      </c>
      <c r="B11" s="9" t="s">
        <v>2</v>
      </c>
      <c r="C11" s="9" t="s">
        <v>3</v>
      </c>
      <c r="D11" s="9" t="s">
        <v>4</v>
      </c>
      <c r="E11" s="9" t="s">
        <v>5</v>
      </c>
      <c r="F11" s="9" t="s">
        <v>6</v>
      </c>
      <c r="G11" s="9" t="s">
        <v>7</v>
      </c>
      <c r="H11" s="9" t="s">
        <v>8</v>
      </c>
      <c r="I11" s="9" t="s">
        <v>9</v>
      </c>
      <c r="J11" s="9" t="s">
        <v>10</v>
      </c>
      <c r="K11" s="9" t="s">
        <v>11</v>
      </c>
      <c r="L11" s="9" t="s">
        <v>12</v>
      </c>
      <c r="M11" s="9" t="s">
        <v>13</v>
      </c>
      <c r="N11" s="9" t="s">
        <v>14</v>
      </c>
      <c r="O11" s="9" t="s">
        <v>15</v>
      </c>
      <c r="P11" s="9" t="s">
        <v>16</v>
      </c>
      <c r="Q11" s="9" t="s">
        <v>17</v>
      </c>
    </row>
    <row r="12" spans="1:17" x14ac:dyDescent="0.2">
      <c r="A12" s="26">
        <f>Data!A2</f>
        <v>46173</v>
      </c>
      <c r="B12" s="27" t="str">
        <f>Data!B2</f>
        <v>HERNAN PEDREAÑEZ</v>
      </c>
      <c r="C12" s="27" t="str">
        <f>Data!C2</f>
        <v>V12728824</v>
      </c>
      <c r="D12" s="30">
        <f>Data!D2</f>
        <v>1</v>
      </c>
      <c r="E12" s="30" t="str">
        <f>Data!E2</f>
        <v>00-0001</v>
      </c>
      <c r="F12" s="31">
        <f>Data!F2</f>
        <v>0</v>
      </c>
      <c r="G12" s="31">
        <f>Data!G2</f>
        <v>0</v>
      </c>
      <c r="H12" s="31">
        <f>Data!H2</f>
        <v>0</v>
      </c>
      <c r="I12" s="31">
        <f>Data!I2</f>
        <v>0</v>
      </c>
      <c r="J12" s="31">
        <f>Data!J2</f>
        <v>0</v>
      </c>
      <c r="K12" s="31">
        <f>Data!K2</f>
        <v>0</v>
      </c>
      <c r="L12" s="31">
        <f>Data!L2</f>
        <v>0</v>
      </c>
      <c r="M12" s="28">
        <f>Data!M2</f>
        <v>335891</v>
      </c>
      <c r="N12" s="28">
        <f>Data!N2</f>
        <v>335891</v>
      </c>
      <c r="O12" s="28">
        <f>Data!O2</f>
        <v>0</v>
      </c>
      <c r="P12" s="32">
        <f>Data!P2</f>
        <v>16</v>
      </c>
      <c r="Q12" s="28">
        <f>Data!Q2</f>
        <v>0</v>
      </c>
    </row>
    <row r="13" spans="1:17" x14ac:dyDescent="0.2">
      <c r="A13" s="26">
        <f>Data!A3</f>
        <v>46173</v>
      </c>
      <c r="B13" s="27" t="str">
        <f>Data!B3</f>
        <v>HERNAN PEDREAÑEZ</v>
      </c>
      <c r="C13" s="27" t="str">
        <f>Data!C3</f>
        <v>V12728824</v>
      </c>
      <c r="D13" s="30">
        <f>Data!D3</f>
        <v>2</v>
      </c>
      <c r="E13" s="30" t="str">
        <f>Data!E3</f>
        <v>00-0002</v>
      </c>
      <c r="F13" s="31">
        <f>Data!F3</f>
        <v>0</v>
      </c>
      <c r="G13" s="31">
        <f>Data!G3</f>
        <v>0</v>
      </c>
      <c r="H13" s="31">
        <f>Data!H3</f>
        <v>0</v>
      </c>
      <c r="I13" s="31">
        <f>Data!I3</f>
        <v>0</v>
      </c>
      <c r="J13" s="31">
        <f>Data!J3</f>
        <v>0</v>
      </c>
      <c r="K13" s="31">
        <f>Data!K3</f>
        <v>0</v>
      </c>
      <c r="L13" s="31">
        <f>Data!L3</f>
        <v>0</v>
      </c>
      <c r="M13" s="28">
        <f>Data!M3</f>
        <v>298824</v>
      </c>
      <c r="N13" s="28">
        <f>Data!N3</f>
        <v>298824</v>
      </c>
      <c r="O13" s="28">
        <f>Data!O3</f>
        <v>0</v>
      </c>
      <c r="P13" s="32">
        <f>Data!P3</f>
        <v>16</v>
      </c>
      <c r="Q13" s="28">
        <f>Data!Q3</f>
        <v>0</v>
      </c>
    </row>
    <row r="14" spans="1:17" x14ac:dyDescent="0.2">
      <c r="A14" s="26">
        <f>Data!A4</f>
        <v>46173</v>
      </c>
      <c r="B14" s="27" t="str">
        <f>Data!B4</f>
        <v>FANCISCO MADRIZ</v>
      </c>
      <c r="C14" s="27" t="str">
        <f>Data!C4</f>
        <v>V28023800</v>
      </c>
      <c r="D14" s="30">
        <f>Data!D4</f>
        <v>3</v>
      </c>
      <c r="E14" s="30" t="str">
        <f>Data!E4</f>
        <v>00-0003</v>
      </c>
      <c r="F14" s="31">
        <f>Data!F4</f>
        <v>0</v>
      </c>
      <c r="G14" s="31">
        <f>Data!G4</f>
        <v>0</v>
      </c>
      <c r="H14" s="31">
        <f>Data!H4</f>
        <v>0</v>
      </c>
      <c r="I14" s="31">
        <f>Data!I4</f>
        <v>0</v>
      </c>
      <c r="J14" s="31">
        <f>Data!J4</f>
        <v>0</v>
      </c>
      <c r="K14" s="31">
        <f>Data!K4</f>
        <v>0</v>
      </c>
      <c r="L14" s="31">
        <f>Data!L4</f>
        <v>0</v>
      </c>
      <c r="M14" s="28">
        <f>Data!M4</f>
        <v>354256</v>
      </c>
      <c r="N14" s="28">
        <f>Data!N4</f>
        <v>354256</v>
      </c>
      <c r="O14" s="28">
        <f>Data!O4</f>
        <v>0</v>
      </c>
      <c r="P14" s="32">
        <f>Data!P4</f>
        <v>16</v>
      </c>
      <c r="Q14" s="28">
        <f>Data!Q4</f>
        <v>0</v>
      </c>
    </row>
    <row r="15" spans="1:17" x14ac:dyDescent="0.2">
      <c r="A15" s="26">
        <f>Data!A5</f>
        <v>46173</v>
      </c>
      <c r="B15" s="27" t="str">
        <f>Data!B5</f>
        <v>FANCISCO MADRIZ</v>
      </c>
      <c r="C15" s="27" t="str">
        <f>Data!C5</f>
        <v>V28023800</v>
      </c>
      <c r="D15" s="30">
        <f>Data!D5</f>
        <v>4</v>
      </c>
      <c r="E15" s="30" t="str">
        <f>Data!E5</f>
        <v>00-0004</v>
      </c>
      <c r="F15" s="31">
        <f>Data!F5</f>
        <v>0</v>
      </c>
      <c r="G15" s="31">
        <f>Data!G5</f>
        <v>0</v>
      </c>
      <c r="H15" s="31">
        <f>Data!H5</f>
        <v>0</v>
      </c>
      <c r="I15" s="31">
        <f>Data!I5</f>
        <v>0</v>
      </c>
      <c r="J15" s="31">
        <f>Data!J5</f>
        <v>0</v>
      </c>
      <c r="K15" s="31">
        <f>Data!K5</f>
        <v>0</v>
      </c>
      <c r="L15" s="31">
        <f>Data!L5</f>
        <v>0</v>
      </c>
      <c r="M15" s="28">
        <f>Data!M5</f>
        <v>241064</v>
      </c>
      <c r="N15" s="28">
        <f>Data!N5</f>
        <v>241064</v>
      </c>
      <c r="O15" s="28">
        <f>Data!O5</f>
        <v>0</v>
      </c>
      <c r="P15" s="32">
        <f>Data!P5</f>
        <v>16</v>
      </c>
      <c r="Q15" s="28">
        <f>Data!Q5</f>
        <v>0</v>
      </c>
    </row>
    <row r="16" spans="1:17" x14ac:dyDescent="0.2">
      <c r="A16" s="26">
        <f>Data!A6</f>
        <v>46173</v>
      </c>
      <c r="B16" s="27" t="str">
        <f>Data!B6</f>
        <v>EDUARDO DOS SANTOS</v>
      </c>
      <c r="C16" s="27" t="str">
        <f>Data!C6</f>
        <v>V16115512</v>
      </c>
      <c r="D16" s="30">
        <f>Data!D6</f>
        <v>5</v>
      </c>
      <c r="E16" s="30" t="str">
        <f>Data!E6</f>
        <v>00-0005</v>
      </c>
      <c r="F16" s="31">
        <f>Data!F6</f>
        <v>0</v>
      </c>
      <c r="G16" s="31">
        <f>Data!G6</f>
        <v>0</v>
      </c>
      <c r="H16" s="31">
        <f>Data!H6</f>
        <v>0</v>
      </c>
      <c r="I16" s="31">
        <f>Data!I6</f>
        <v>0</v>
      </c>
      <c r="J16" s="31">
        <f>Data!J6</f>
        <v>0</v>
      </c>
      <c r="K16" s="31">
        <f>Data!K6</f>
        <v>0</v>
      </c>
      <c r="L16" s="31">
        <f>Data!L6</f>
        <v>0</v>
      </c>
      <c r="M16" s="28">
        <f>Data!M6</f>
        <v>327644.09999999998</v>
      </c>
      <c r="N16" s="28">
        <f>Data!N6</f>
        <v>327644.09999999998</v>
      </c>
      <c r="O16" s="28">
        <f>Data!O6</f>
        <v>0</v>
      </c>
      <c r="P16" s="32">
        <f>Data!P6</f>
        <v>16</v>
      </c>
      <c r="Q16" s="28">
        <f>Data!Q6</f>
        <v>0</v>
      </c>
    </row>
    <row r="17" spans="1:17" x14ac:dyDescent="0.2">
      <c r="A17" s="26">
        <f>Data!A7</f>
        <v>46173</v>
      </c>
      <c r="B17" s="27" t="str">
        <f>Data!B7</f>
        <v>JOSE BRAVO</v>
      </c>
      <c r="C17" s="27" t="str">
        <f>Data!C7</f>
        <v>V9376138</v>
      </c>
      <c r="D17" s="30">
        <f>Data!D7</f>
        <v>6</v>
      </c>
      <c r="E17" s="30" t="str">
        <f>Data!E7</f>
        <v>00-0006</v>
      </c>
      <c r="F17" s="31">
        <f>Data!F7</f>
        <v>0</v>
      </c>
      <c r="G17" s="31">
        <f>Data!G7</f>
        <v>0</v>
      </c>
      <c r="H17" s="31">
        <f>Data!H7</f>
        <v>0</v>
      </c>
      <c r="I17" s="31">
        <f>Data!I7</f>
        <v>0</v>
      </c>
      <c r="J17" s="31">
        <f>Data!J7</f>
        <v>0</v>
      </c>
      <c r="K17" s="31">
        <f>Data!K7</f>
        <v>0</v>
      </c>
      <c r="L17" s="31">
        <f>Data!L7</f>
        <v>0</v>
      </c>
      <c r="M17" s="28">
        <f>Data!M7</f>
        <v>520480.1</v>
      </c>
      <c r="N17" s="28">
        <f>Data!N7</f>
        <v>520480.1</v>
      </c>
      <c r="O17" s="28">
        <f>Data!O7</f>
        <v>0</v>
      </c>
      <c r="P17" s="32">
        <f>Data!P7</f>
        <v>16</v>
      </c>
      <c r="Q17" s="28">
        <f>Data!Q7</f>
        <v>0</v>
      </c>
    </row>
    <row r="18" spans="1:17" x14ac:dyDescent="0.2">
      <c r="A18" s="26">
        <f>Data!A8</f>
        <v>46173</v>
      </c>
      <c r="B18" s="27" t="str">
        <f>Data!B8</f>
        <v>JOSE BRAVO</v>
      </c>
      <c r="C18" s="27" t="str">
        <f>Data!C8</f>
        <v>V9376138</v>
      </c>
      <c r="D18" s="30">
        <f>Data!D8</f>
        <v>7</v>
      </c>
      <c r="E18" s="30" t="str">
        <f>Data!E8</f>
        <v>00-0007</v>
      </c>
      <c r="F18" s="31">
        <f>Data!F8</f>
        <v>0</v>
      </c>
      <c r="G18" s="31">
        <f>Data!G8</f>
        <v>0</v>
      </c>
      <c r="H18" s="31">
        <f>Data!H8</f>
        <v>0</v>
      </c>
      <c r="I18" s="31">
        <f>Data!I8</f>
        <v>0</v>
      </c>
      <c r="J18" s="31">
        <f>Data!J8</f>
        <v>0</v>
      </c>
      <c r="K18" s="31">
        <f>Data!K8</f>
        <v>0</v>
      </c>
      <c r="L18" s="31">
        <f>Data!L8</f>
        <v>0</v>
      </c>
      <c r="M18" s="28">
        <f>Data!M8</f>
        <v>206430.21</v>
      </c>
      <c r="N18" s="28">
        <f>Data!N8</f>
        <v>206430.21</v>
      </c>
      <c r="O18" s="28">
        <f>Data!O8</f>
        <v>0</v>
      </c>
      <c r="P18" s="32">
        <f>Data!P8</f>
        <v>16</v>
      </c>
      <c r="Q18" s="28">
        <f>Data!Q8</f>
        <v>0</v>
      </c>
    </row>
    <row r="19" spans="1:17" x14ac:dyDescent="0.2">
      <c r="A19" s="26">
        <f>Data!A9</f>
        <v>46173</v>
      </c>
      <c r="B19" s="27" t="str">
        <f>Data!B9</f>
        <v>JONATHAN APONTE</v>
      </c>
      <c r="C19" s="27" t="str">
        <f>Data!C9</f>
        <v>V22764031</v>
      </c>
      <c r="D19" s="30">
        <f>Data!D9</f>
        <v>8</v>
      </c>
      <c r="E19" s="30" t="str">
        <f>Data!E9</f>
        <v>00-0008</v>
      </c>
      <c r="F19" s="31">
        <f>Data!F9</f>
        <v>0</v>
      </c>
      <c r="G19" s="31">
        <f>Data!G9</f>
        <v>0</v>
      </c>
      <c r="H19" s="31">
        <f>Data!H9</f>
        <v>0</v>
      </c>
      <c r="I19" s="31">
        <f>Data!I9</f>
        <v>0</v>
      </c>
      <c r="J19" s="31">
        <f>Data!J9</f>
        <v>0</v>
      </c>
      <c r="K19" s="31">
        <f>Data!K9</f>
        <v>0</v>
      </c>
      <c r="L19" s="31">
        <f>Data!L9</f>
        <v>0</v>
      </c>
      <c r="M19" s="28">
        <f>Data!M9</f>
        <v>676456.53</v>
      </c>
      <c r="N19" s="28">
        <f>Data!N9</f>
        <v>676456.53</v>
      </c>
      <c r="O19" s="28">
        <f>Data!O9</f>
        <v>0</v>
      </c>
      <c r="P19" s="32">
        <f>Data!P9</f>
        <v>16</v>
      </c>
      <c r="Q19" s="28">
        <f>Data!Q9</f>
        <v>0</v>
      </c>
    </row>
    <row r="20" spans="1:17" x14ac:dyDescent="0.2">
      <c r="L20" s="10" t="s">
        <v>18</v>
      </c>
      <c r="M20" s="11">
        <f>SUM(M12:M19)</f>
        <v>2961045.9400000004</v>
      </c>
      <c r="N20" s="11">
        <f>SUM(N12:N19)</f>
        <v>2961045.9400000004</v>
      </c>
      <c r="O20" s="11">
        <f>SUM(O12:O19)</f>
        <v>0</v>
      </c>
      <c r="P20" s="48"/>
      <c r="Q20" s="11">
        <f>SUM(Q12:Q19)</f>
        <v>0</v>
      </c>
    </row>
    <row r="24" spans="1:17" ht="15" x14ac:dyDescent="0.25">
      <c r="M24" s="12" t="s">
        <v>28</v>
      </c>
      <c r="N24" s="13"/>
      <c r="O24" s="13"/>
      <c r="P24" s="13"/>
      <c r="Q24" s="14" t="s">
        <v>29</v>
      </c>
    </row>
    <row r="25" spans="1:17" ht="12.75" x14ac:dyDescent="0.2">
      <c r="M25" s="18" t="s">
        <v>30</v>
      </c>
      <c r="N25" s="19"/>
      <c r="O25" s="19"/>
      <c r="P25" s="19"/>
      <c r="Q25" s="20" t="s">
        <v>31</v>
      </c>
    </row>
    <row r="26" spans="1:17" ht="12.75" x14ac:dyDescent="0.2">
      <c r="M26" s="15" t="s">
        <v>32</v>
      </c>
      <c r="N26" s="13"/>
      <c r="O26" s="13"/>
      <c r="P26" s="13"/>
      <c r="Q26" s="21">
        <f>N20</f>
        <v>2961045.9400000004</v>
      </c>
    </row>
    <row r="27" spans="1:17" ht="12.75" x14ac:dyDescent="0.2">
      <c r="M27" s="15" t="s">
        <v>33</v>
      </c>
      <c r="N27" s="13"/>
      <c r="O27" s="13"/>
      <c r="P27" s="13"/>
      <c r="Q27" s="21">
        <v>0</v>
      </c>
    </row>
    <row r="28" spans="1:17" ht="12.75" x14ac:dyDescent="0.2">
      <c r="M28" s="15" t="s">
        <v>34</v>
      </c>
      <c r="N28" s="13"/>
      <c r="O28" s="13"/>
      <c r="P28" s="13"/>
      <c r="Q28" s="21">
        <v>0</v>
      </c>
    </row>
    <row r="29" spans="1:17" ht="12.75" x14ac:dyDescent="0.2">
      <c r="M29" s="18" t="s">
        <v>35</v>
      </c>
      <c r="N29" s="19"/>
      <c r="O29" s="19"/>
      <c r="P29" s="19"/>
      <c r="Q29" s="23">
        <f>Q26+Q27+Q28</f>
        <v>2961045.9400000004</v>
      </c>
    </row>
    <row r="30" spans="1:17" ht="12.75" x14ac:dyDescent="0.2">
      <c r="M30" s="18" t="s">
        <v>36</v>
      </c>
      <c r="N30" s="19"/>
      <c r="O30" s="19"/>
      <c r="P30" s="19"/>
      <c r="Q30" s="23">
        <f>Q20</f>
        <v>0</v>
      </c>
    </row>
    <row r="31" spans="1:17" ht="15" x14ac:dyDescent="0.25">
      <c r="M31" s="12" t="s">
        <v>37</v>
      </c>
      <c r="N31" s="13"/>
      <c r="O31" s="13"/>
      <c r="P31" s="13"/>
      <c r="Q31" s="24" t="s">
        <v>29</v>
      </c>
    </row>
    <row r="32" spans="1:17" ht="12.75" x14ac:dyDescent="0.2">
      <c r="M32" s="18" t="s">
        <v>38</v>
      </c>
      <c r="N32" s="19"/>
      <c r="O32" s="19"/>
      <c r="P32" s="19"/>
      <c r="Q32" s="23" t="s">
        <v>31</v>
      </c>
    </row>
    <row r="33" spans="13:17" ht="12.75" x14ac:dyDescent="0.2">
      <c r="M33" s="15" t="s">
        <v>39</v>
      </c>
      <c r="N33" s="13"/>
      <c r="O33" s="13"/>
      <c r="P33" s="13"/>
      <c r="Q33" s="21">
        <v>17614.23</v>
      </c>
    </row>
    <row r="34" spans="13:17" ht="12.75" x14ac:dyDescent="0.2">
      <c r="M34" s="15" t="s">
        <v>40</v>
      </c>
      <c r="N34" s="13"/>
      <c r="O34" s="13"/>
      <c r="P34" s="13"/>
      <c r="Q34" s="21">
        <v>0</v>
      </c>
    </row>
    <row r="35" spans="13:17" ht="12.75" x14ac:dyDescent="0.2">
      <c r="M35" s="15" t="s">
        <v>41</v>
      </c>
      <c r="N35" s="13"/>
      <c r="O35" s="13"/>
      <c r="P35" s="13"/>
      <c r="Q35" s="21">
        <v>2095648.45</v>
      </c>
    </row>
    <row r="36" spans="13:17" ht="12.75" x14ac:dyDescent="0.2">
      <c r="M36" s="15" t="s">
        <v>42</v>
      </c>
      <c r="N36" s="13"/>
      <c r="O36" s="13"/>
      <c r="P36" s="13"/>
      <c r="Q36" s="21">
        <v>0</v>
      </c>
    </row>
    <row r="37" spans="13:17" ht="12.75" x14ac:dyDescent="0.2">
      <c r="M37" s="18" t="s">
        <v>43</v>
      </c>
      <c r="N37" s="19"/>
      <c r="O37" s="19"/>
      <c r="P37" s="19"/>
      <c r="Q37" s="23">
        <v>0</v>
      </c>
    </row>
    <row r="38" spans="13:17" ht="12.75" x14ac:dyDescent="0.2">
      <c r="M38" s="15" t="s">
        <v>44</v>
      </c>
      <c r="N38" s="13"/>
      <c r="O38" s="13"/>
      <c r="P38" s="13"/>
      <c r="Q38" s="21">
        <v>0</v>
      </c>
    </row>
    <row r="39" spans="13:17" ht="12.75" x14ac:dyDescent="0.2">
      <c r="M39" s="18" t="s">
        <v>45</v>
      </c>
      <c r="N39" s="19"/>
      <c r="O39" s="19"/>
      <c r="P39" s="19"/>
      <c r="Q39" s="23">
        <f>Q35*16%</f>
        <v>335303.75199999998</v>
      </c>
    </row>
    <row r="40" spans="13:17" ht="12.75" x14ac:dyDescent="0.2">
      <c r="M40" s="18" t="s">
        <v>74</v>
      </c>
      <c r="N40" s="19"/>
      <c r="O40" s="19"/>
      <c r="P40" s="19"/>
      <c r="Q40" s="47">
        <f>-Q39</f>
        <v>-335303.75199999998</v>
      </c>
    </row>
    <row r="41" spans="13:17" ht="12.75" x14ac:dyDescent="0.2">
      <c r="M41" s="18" t="s">
        <v>46</v>
      </c>
      <c r="N41" s="19"/>
      <c r="O41" s="19"/>
      <c r="P41" s="19"/>
      <c r="Q41" s="23" t="s">
        <v>29</v>
      </c>
    </row>
    <row r="42" spans="13:17" ht="12.75" x14ac:dyDescent="0.2">
      <c r="M42" s="18" t="s">
        <v>47</v>
      </c>
      <c r="N42" s="19"/>
      <c r="O42" s="19"/>
      <c r="P42" s="19"/>
      <c r="Q42" s="23">
        <v>0</v>
      </c>
    </row>
    <row r="43" spans="13:17" ht="12.75" x14ac:dyDescent="0.2">
      <c r="M43" s="15" t="s">
        <v>48</v>
      </c>
      <c r="N43" s="13"/>
      <c r="O43" s="13"/>
      <c r="P43" s="13"/>
      <c r="Q43" s="21">
        <v>0</v>
      </c>
    </row>
    <row r="44" spans="13:17" ht="12.75" x14ac:dyDescent="0.2">
      <c r="M44" s="15" t="s">
        <v>49</v>
      </c>
      <c r="N44" s="13"/>
      <c r="O44" s="13"/>
      <c r="P44" s="13"/>
      <c r="Q44" s="21">
        <v>0</v>
      </c>
    </row>
    <row r="45" spans="13:17" ht="12.75" x14ac:dyDescent="0.2">
      <c r="M45" s="15" t="s">
        <v>50</v>
      </c>
      <c r="N45" s="13"/>
      <c r="O45" s="13"/>
      <c r="P45" s="13"/>
      <c r="Q45" s="21">
        <v>0</v>
      </c>
    </row>
    <row r="46" spans="13:17" ht="12.75" x14ac:dyDescent="0.2">
      <c r="M46" s="17" t="s">
        <v>51</v>
      </c>
      <c r="N46" s="13"/>
      <c r="O46" s="13"/>
      <c r="P46" s="13"/>
      <c r="Q46" s="25">
        <v>0</v>
      </c>
    </row>
    <row r="47" spans="13:17" ht="12.75" x14ac:dyDescent="0.2">
      <c r="M47" s="16" t="s">
        <v>52</v>
      </c>
      <c r="N47" s="13"/>
      <c r="O47" s="13"/>
      <c r="P47" s="13"/>
      <c r="Q47" s="22">
        <v>0</v>
      </c>
    </row>
    <row r="48" spans="13:17" ht="12.75" x14ac:dyDescent="0.2">
      <c r="M48" s="15" t="s">
        <v>53</v>
      </c>
      <c r="N48" s="13"/>
      <c r="O48" s="13"/>
      <c r="P48" s="13"/>
      <c r="Q48" s="21">
        <v>0</v>
      </c>
    </row>
    <row r="49" spans="13:17" ht="12.75" x14ac:dyDescent="0.2">
      <c r="M49" s="15" t="s">
        <v>54</v>
      </c>
      <c r="N49" s="13"/>
      <c r="O49" s="13"/>
      <c r="P49" s="13"/>
      <c r="Q49" s="21">
        <v>0</v>
      </c>
    </row>
    <row r="50" spans="13:17" ht="12.75" x14ac:dyDescent="0.2">
      <c r="M50" s="18" t="s">
        <v>55</v>
      </c>
      <c r="N50" s="19"/>
      <c r="O50" s="19"/>
      <c r="P50" s="19"/>
      <c r="Q50" s="23">
        <v>0</v>
      </c>
    </row>
  </sheetData>
  <mergeCells count="6">
    <mergeCell ref="O10:Q10"/>
    <mergeCell ref="B2:G2"/>
    <mergeCell ref="B3:G3"/>
    <mergeCell ref="B4:G4"/>
    <mergeCell ref="B6:G6"/>
    <mergeCell ref="B7:G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6A44-FB61-4C94-AC7A-1B1FBEBC36DE}">
  <dimension ref="A1:Q9"/>
  <sheetViews>
    <sheetView zoomScale="77" zoomScaleNormal="77" workbookViewId="0">
      <selection activeCell="L17" sqref="L17"/>
    </sheetView>
  </sheetViews>
  <sheetFormatPr baseColWidth="10" defaultColWidth="9.140625" defaultRowHeight="11.25" x14ac:dyDescent="0.2"/>
  <cols>
    <col min="1" max="1" width="12" style="8" customWidth="1"/>
    <col min="2" max="2" width="35" style="8" customWidth="1"/>
    <col min="3" max="3" width="15" style="8" customWidth="1"/>
    <col min="4" max="6" width="12" style="8" customWidth="1"/>
    <col min="7" max="9" width="10" style="8" customWidth="1"/>
    <col min="10" max="11" width="12" style="8" customWidth="1"/>
    <col min="12" max="12" width="15" style="8" customWidth="1"/>
    <col min="13" max="13" width="18" style="8" customWidth="1"/>
    <col min="14" max="15" width="15" style="8" customWidth="1"/>
    <col min="16" max="16" width="10" style="8" customWidth="1"/>
    <col min="17" max="17" width="15" style="8" customWidth="1"/>
    <col min="18" max="16384" width="9.140625" style="8"/>
  </cols>
  <sheetData>
    <row r="1" spans="1:17" ht="22.5" x14ac:dyDescent="0.2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</row>
    <row r="2" spans="1:17" s="29" customFormat="1" x14ac:dyDescent="0.2">
      <c r="A2" s="26">
        <v>46173</v>
      </c>
      <c r="B2" s="27" t="s">
        <v>56</v>
      </c>
      <c r="C2" s="27" t="s">
        <v>57</v>
      </c>
      <c r="D2" s="46">
        <v>1</v>
      </c>
      <c r="E2" s="30" t="s">
        <v>58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0</v>
      </c>
      <c r="M2" s="28">
        <f>N2+O2+Q2</f>
        <v>335891</v>
      </c>
      <c r="N2" s="28">
        <v>335891</v>
      </c>
      <c r="O2" s="28">
        <v>0</v>
      </c>
      <c r="P2" s="32">
        <v>16</v>
      </c>
      <c r="Q2" s="28">
        <f>O2*(P2/100)</f>
        <v>0</v>
      </c>
    </row>
    <row r="3" spans="1:17" s="29" customFormat="1" x14ac:dyDescent="0.2">
      <c r="A3" s="26">
        <v>46173</v>
      </c>
      <c r="B3" s="27" t="s">
        <v>56</v>
      </c>
      <c r="C3" s="27" t="s">
        <v>57</v>
      </c>
      <c r="D3" s="46">
        <v>2</v>
      </c>
      <c r="E3" s="30" t="s">
        <v>59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28">
        <f>N3+O3+Q3</f>
        <v>298824</v>
      </c>
      <c r="N3" s="28">
        <v>298824</v>
      </c>
      <c r="O3" s="28">
        <v>0</v>
      </c>
      <c r="P3" s="32">
        <v>16</v>
      </c>
      <c r="Q3" s="28">
        <f t="shared" ref="Q3:Q9" si="0">O3*(P3/100)</f>
        <v>0</v>
      </c>
    </row>
    <row r="4" spans="1:17" s="29" customFormat="1" x14ac:dyDescent="0.2">
      <c r="A4" s="26">
        <v>46173</v>
      </c>
      <c r="B4" s="27" t="s">
        <v>60</v>
      </c>
      <c r="C4" s="27" t="s">
        <v>61</v>
      </c>
      <c r="D4" s="46">
        <v>3</v>
      </c>
      <c r="E4" s="30" t="s">
        <v>62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28">
        <f>N4+O4+Q4</f>
        <v>354256</v>
      </c>
      <c r="N4" s="28">
        <v>354256</v>
      </c>
      <c r="O4" s="28">
        <v>0</v>
      </c>
      <c r="P4" s="32">
        <v>16</v>
      </c>
      <c r="Q4" s="28">
        <f t="shared" si="0"/>
        <v>0</v>
      </c>
    </row>
    <row r="5" spans="1:17" x14ac:dyDescent="0.2">
      <c r="A5" s="26">
        <v>46173</v>
      </c>
      <c r="B5" s="27" t="s">
        <v>60</v>
      </c>
      <c r="C5" s="27" t="s">
        <v>61</v>
      </c>
      <c r="D5" s="46">
        <v>4</v>
      </c>
      <c r="E5" s="30" t="s">
        <v>63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28">
        <f t="shared" ref="M5:M9" si="1">N5+O5+Q5</f>
        <v>241064</v>
      </c>
      <c r="N5" s="28">
        <v>241064</v>
      </c>
      <c r="O5" s="28">
        <v>0</v>
      </c>
      <c r="P5" s="32">
        <v>16</v>
      </c>
      <c r="Q5" s="28">
        <f t="shared" si="0"/>
        <v>0</v>
      </c>
    </row>
    <row r="6" spans="1:17" x14ac:dyDescent="0.2">
      <c r="A6" s="26">
        <v>46173</v>
      </c>
      <c r="B6" s="27" t="s">
        <v>64</v>
      </c>
      <c r="C6" s="27" t="s">
        <v>65</v>
      </c>
      <c r="D6" s="46">
        <v>5</v>
      </c>
      <c r="E6" s="30" t="s">
        <v>66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28">
        <f t="shared" si="1"/>
        <v>327644.09999999998</v>
      </c>
      <c r="N6" s="28">
        <v>327644.09999999998</v>
      </c>
      <c r="O6" s="28">
        <v>0</v>
      </c>
      <c r="P6" s="32">
        <v>16</v>
      </c>
      <c r="Q6" s="28">
        <f t="shared" si="0"/>
        <v>0</v>
      </c>
    </row>
    <row r="7" spans="1:17" x14ac:dyDescent="0.2">
      <c r="A7" s="26">
        <v>46173</v>
      </c>
      <c r="B7" s="27" t="s">
        <v>67</v>
      </c>
      <c r="C7" s="27" t="s">
        <v>68</v>
      </c>
      <c r="D7" s="46">
        <v>6</v>
      </c>
      <c r="E7" s="30" t="s">
        <v>69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28">
        <f t="shared" si="1"/>
        <v>520480.1</v>
      </c>
      <c r="N7" s="28">
        <v>520480.1</v>
      </c>
      <c r="O7" s="28">
        <v>0</v>
      </c>
      <c r="P7" s="32">
        <v>16</v>
      </c>
      <c r="Q7" s="28">
        <f t="shared" si="0"/>
        <v>0</v>
      </c>
    </row>
    <row r="8" spans="1:17" x14ac:dyDescent="0.2">
      <c r="A8" s="26">
        <v>46173</v>
      </c>
      <c r="B8" s="27" t="s">
        <v>67</v>
      </c>
      <c r="C8" s="27" t="s">
        <v>68</v>
      </c>
      <c r="D8" s="46">
        <v>7</v>
      </c>
      <c r="E8" s="30" t="s">
        <v>70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28">
        <f t="shared" si="1"/>
        <v>206430.21</v>
      </c>
      <c r="N8" s="28">
        <v>206430.21</v>
      </c>
      <c r="O8" s="28">
        <v>0</v>
      </c>
      <c r="P8" s="32">
        <v>16</v>
      </c>
      <c r="Q8" s="28">
        <f t="shared" si="0"/>
        <v>0</v>
      </c>
    </row>
    <row r="9" spans="1:17" x14ac:dyDescent="0.2">
      <c r="A9" s="26">
        <v>46173</v>
      </c>
      <c r="B9" s="27" t="s">
        <v>71</v>
      </c>
      <c r="C9" s="27" t="s">
        <v>72</v>
      </c>
      <c r="D9" s="46">
        <v>8</v>
      </c>
      <c r="E9" s="30" t="s">
        <v>73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28">
        <f t="shared" si="1"/>
        <v>676456.53</v>
      </c>
      <c r="N9" s="28">
        <v>676456.53</v>
      </c>
      <c r="O9" s="28">
        <v>0</v>
      </c>
      <c r="P9" s="32">
        <v>16</v>
      </c>
      <c r="Q9" s="28">
        <f t="shared" si="0"/>
        <v>0</v>
      </c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de Ventas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Rodriguez Colmenares</cp:lastModifiedBy>
  <dcterms:created xsi:type="dcterms:W3CDTF">2026-04-30T13:39:10Z</dcterms:created>
  <dcterms:modified xsi:type="dcterms:W3CDTF">2026-06-16T02:41:19Z</dcterms:modified>
</cp:coreProperties>
</file>