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Rodriguez\Desktop\Software_KD\Libros fiscales\2da Qna Mayo 2026\"/>
    </mc:Choice>
  </mc:AlternateContent>
  <xr:revisionPtr revIDLastSave="0" documentId="13_ncr:1_{C084D78E-1E22-4283-9EAF-D3FE04C0FFE5}" xr6:coauthVersionLast="47" xr6:coauthVersionMax="47" xr10:uidLastSave="{00000000-0000-0000-0000-000000000000}"/>
  <bookViews>
    <workbookView xWindow="0" yWindow="0" windowWidth="20490" windowHeight="10920" xr2:uid="{B811DCE1-C6D5-4BE1-A725-50EB07801725}"/>
  </bookViews>
  <sheets>
    <sheet name="Data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" i="5" l="1"/>
  <c r="G5" i="5" s="1"/>
  <c r="K3" i="5"/>
  <c r="G3" i="5" s="1"/>
  <c r="K2" i="5"/>
  <c r="K4" i="5" l="1"/>
  <c r="G4" i="5" s="1"/>
  <c r="K6" i="5"/>
  <c r="G6" i="5" s="1"/>
  <c r="G2" i="5" l="1"/>
</calcChain>
</file>

<file path=xl/sharedStrings.xml><?xml version="1.0" encoding="utf-8"?>
<sst xmlns="http://schemas.openxmlformats.org/spreadsheetml/2006/main" count="26" uniqueCount="18">
  <si>
    <t>Tipo de Documento</t>
  </si>
  <si>
    <t>Número de Documento</t>
  </si>
  <si>
    <t>Número de Control</t>
  </si>
  <si>
    <t>Nombre o Razón Social</t>
  </si>
  <si>
    <t>R.I.F.</t>
  </si>
  <si>
    <t>Total Compras</t>
  </si>
  <si>
    <t>Compras Exentas</t>
  </si>
  <si>
    <t>Base Imponible</t>
  </si>
  <si>
    <t>Fecha de 
Operación</t>
  </si>
  <si>
    <t>Credito Fiscales</t>
  </si>
  <si>
    <t>Alicuota
 (%)</t>
  </si>
  <si>
    <t>J504480975</t>
  </si>
  <si>
    <t>J317227719</t>
  </si>
  <si>
    <t>MINIMARKET BICENTENARIA CCS, C.A.</t>
  </si>
  <si>
    <t>BUFITO, C.A.</t>
  </si>
  <si>
    <t>1FC8000922</t>
  </si>
  <si>
    <t>00-024674</t>
  </si>
  <si>
    <t>J504480976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</si>
</sst>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0"/>
    <numFmt numFmtId="165" formatCode="00000"/>
    <numFmt numFmtId="166" formatCode="yyyy\-mm\-dd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  <font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166" fontId="5" fillId="2" borderId="1" xfId="0" applyNumberFormat="1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165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43" fontId="5" fillId="2" borderId="1" xfId="1" applyFont="1" applyFill="1" applyBorder="1"/>
    <xf numFmtId="43" fontId="5" fillId="2" borderId="1" xfId="1" applyFont="1" applyFill="1" applyBorder="1" applyAlignment="1">
      <alignment horizontal="center"/>
    </xf>
    <xf numFmtId="0" fontId="5" fillId="2" borderId="0" xfId="0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BECCA-9697-4F3F-BC68-BDA0AF75FBA3}">
  <dimension ref="A1:Q6"/>
  <sheetViews>
    <sheetView tabSelected="1" zoomScale="120" zoomScaleNormal="120" workbookViewId="0">
      <selection activeCell="C12" sqref="C12"/>
    </sheetView>
  </sheetViews>
  <sheetFormatPr baseColWidth="10" defaultRowHeight="11.25" x14ac:dyDescent="0.2"/>
  <cols>
    <col min="1" max="1" width="9" style="1" bestFit="1" customWidth="1"/>
    <col min="2" max="2" width="10" style="1" bestFit="1" customWidth="1"/>
    <col min="3" max="3" width="14" style="1" customWidth="1"/>
    <col min="4" max="4" width="11.42578125" style="1"/>
    <col min="5" max="5" width="30.140625" style="1" bestFit="1" customWidth="1"/>
    <col min="6" max="6" width="11.42578125" style="2"/>
    <col min="7" max="9" width="11.42578125" style="1"/>
    <col min="10" max="10" width="7.28515625" style="1" bestFit="1" customWidth="1"/>
    <col min="11" max="11" width="7.85546875" style="1" bestFit="1" customWidth="1"/>
    <col min="12" max="15" width="11.42578125" style="1"/>
    <col min="16" max="16" width="13.7109375" style="1" bestFit="1" customWidth="1"/>
    <col min="17" max="17" width="15.28515625" style="1" customWidth="1"/>
    <col min="18" max="16384" width="11.42578125" style="1"/>
  </cols>
  <sheetData>
    <row r="1" spans="1:17" s="3" customFormat="1" ht="39.75" customHeight="1" x14ac:dyDescent="0.2">
      <c r="A1" s="4" t="s">
        <v>8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10</v>
      </c>
      <c r="K1" s="4" t="s">
        <v>9</v>
      </c>
      <c r="L1" s="1"/>
      <c r="M1" s="1"/>
      <c r="N1" s="1"/>
      <c r="O1" s="1"/>
      <c r="P1" s="1"/>
      <c r="Q1" s="1"/>
    </row>
    <row r="2" spans="1:17" s="12" customFormat="1" ht="10.5" customHeight="1" x14ac:dyDescent="0.2">
      <c r="A2" s="5">
        <v>46162</v>
      </c>
      <c r="B2" s="6">
        <v>1</v>
      </c>
      <c r="C2" s="7">
        <v>32913</v>
      </c>
      <c r="D2" s="7" t="s">
        <v>15</v>
      </c>
      <c r="E2" s="8" t="s">
        <v>13</v>
      </c>
      <c r="F2" s="9" t="s">
        <v>11</v>
      </c>
      <c r="G2" s="10">
        <f>H2+I2+K2+L2+M2+N2+O2</f>
        <v>102041.7424</v>
      </c>
      <c r="H2" s="10">
        <v>71719.47</v>
      </c>
      <c r="I2" s="10">
        <v>26139.89</v>
      </c>
      <c r="J2" s="11">
        <v>16</v>
      </c>
      <c r="K2" s="10">
        <f>J2*(I2/100)</f>
        <v>4182.3823999999995</v>
      </c>
      <c r="L2" s="1"/>
    </row>
    <row r="3" spans="1:17" s="12" customFormat="1" ht="10.5" customHeight="1" x14ac:dyDescent="0.2">
      <c r="A3" s="5">
        <v>46162</v>
      </c>
      <c r="B3" s="6">
        <v>1</v>
      </c>
      <c r="C3" s="7">
        <v>32913</v>
      </c>
      <c r="D3" s="7" t="s">
        <v>15</v>
      </c>
      <c r="E3" s="8" t="s">
        <v>13</v>
      </c>
      <c r="F3" s="9" t="s">
        <v>11</v>
      </c>
      <c r="G3" s="10">
        <f>H3+I3+K3+L3+M3+N3+O3</f>
        <v>22477.446</v>
      </c>
      <c r="H3" s="10">
        <v>0</v>
      </c>
      <c r="I3" s="10">
        <v>20812.45</v>
      </c>
      <c r="J3" s="11">
        <v>8</v>
      </c>
      <c r="K3" s="10">
        <f>J3*(I3/100)</f>
        <v>1664.9960000000001</v>
      </c>
      <c r="L3" s="1"/>
    </row>
    <row r="4" spans="1:17" s="12" customFormat="1" ht="10.5" customHeight="1" x14ac:dyDescent="0.2">
      <c r="A4" s="5">
        <v>46170</v>
      </c>
      <c r="B4" s="6">
        <v>1</v>
      </c>
      <c r="C4" s="7">
        <v>33145</v>
      </c>
      <c r="D4" s="7" t="s">
        <v>15</v>
      </c>
      <c r="E4" s="8" t="s">
        <v>13</v>
      </c>
      <c r="F4" s="9" t="s">
        <v>11</v>
      </c>
      <c r="G4" s="10">
        <f>H4+I4+K4+L4+M4+N4+O4</f>
        <v>141541.6244</v>
      </c>
      <c r="H4" s="10">
        <v>76344.59</v>
      </c>
      <c r="I4" s="10">
        <v>56204.34</v>
      </c>
      <c r="J4" s="11">
        <v>16</v>
      </c>
      <c r="K4" s="10">
        <f t="shared" ref="K4:K6" si="0">I4*16/100</f>
        <v>8992.6944000000003</v>
      </c>
      <c r="L4" s="1"/>
    </row>
    <row r="5" spans="1:17" s="12" customFormat="1" ht="10.5" customHeight="1" x14ac:dyDescent="0.2">
      <c r="A5" s="5">
        <v>46170</v>
      </c>
      <c r="B5" s="6">
        <v>1</v>
      </c>
      <c r="C5" s="7">
        <v>33145</v>
      </c>
      <c r="D5" s="7" t="s">
        <v>15</v>
      </c>
      <c r="E5" s="8" t="s">
        <v>13</v>
      </c>
      <c r="F5" s="9" t="s">
        <v>17</v>
      </c>
      <c r="G5" s="10">
        <f t="shared" ref="G5" si="1">H5+I5+K5+L5+M5+N5+O5</f>
        <v>13069.911600000001</v>
      </c>
      <c r="H5" s="10">
        <v>0</v>
      </c>
      <c r="I5" s="10">
        <v>12101.77</v>
      </c>
      <c r="J5" s="11">
        <v>8</v>
      </c>
      <c r="K5" s="10">
        <f>J5*(I5/100)</f>
        <v>968.14160000000004</v>
      </c>
      <c r="L5" s="1"/>
    </row>
    <row r="6" spans="1:17" s="12" customFormat="1" ht="10.5" customHeight="1" x14ac:dyDescent="0.2">
      <c r="A6" s="5">
        <v>46170</v>
      </c>
      <c r="B6" s="6">
        <v>1</v>
      </c>
      <c r="C6" s="7">
        <v>6943</v>
      </c>
      <c r="D6" s="7" t="s">
        <v>16</v>
      </c>
      <c r="E6" s="8" t="s">
        <v>14</v>
      </c>
      <c r="F6" s="9" t="s">
        <v>12</v>
      </c>
      <c r="G6" s="10">
        <f t="shared" ref="G4:G6" si="2">H6+I6+K6+L6+M6+N6+O6</f>
        <v>43613.39</v>
      </c>
      <c r="H6" s="10">
        <v>0</v>
      </c>
      <c r="I6" s="10">
        <v>37597.75</v>
      </c>
      <c r="J6" s="11">
        <v>16</v>
      </c>
      <c r="K6" s="10">
        <f t="shared" si="0"/>
        <v>6015.64</v>
      </c>
      <c r="L6" s="1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Rodriguez Colmenares</dc:creator>
  <cp:lastModifiedBy>Carlos Rodriguez Colmenares</cp:lastModifiedBy>
  <dcterms:created xsi:type="dcterms:W3CDTF">2026-04-27T12:39:49Z</dcterms:created>
  <dcterms:modified xsi:type="dcterms:W3CDTF">2026-06-08T12:09:48Z</dcterms:modified>
</cp:coreProperties>
</file>