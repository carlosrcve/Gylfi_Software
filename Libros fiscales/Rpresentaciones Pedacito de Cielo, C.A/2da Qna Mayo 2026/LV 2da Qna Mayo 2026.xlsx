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 Rodriguez\Desktop\Software_KD\"/>
    </mc:Choice>
  </mc:AlternateContent>
  <xr:revisionPtr revIDLastSave="0" documentId="13_ncr:1_{DE1E4D75-1436-49CB-9091-B963447379C8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M25" i="2" s="1"/>
  <c r="Q26" i="2"/>
  <c r="M26" i="2" s="1"/>
  <c r="Q27" i="2"/>
  <c r="M27" i="2" s="1"/>
  <c r="Q28" i="2"/>
  <c r="M28" i="2" s="1"/>
  <c r="Q29" i="2"/>
  <c r="M29" i="2" s="1"/>
  <c r="Q30" i="2"/>
  <c r="M30" i="2" s="1"/>
  <c r="M3" i="2" l="1"/>
  <c r="Q2" i="2" l="1"/>
  <c r="M2" i="2" s="1"/>
</calcChain>
</file>

<file path=xl/sharedStrings.xml><?xml version="1.0" encoding="utf-8"?>
<sst xmlns="http://schemas.openxmlformats.org/spreadsheetml/2006/main" count="75" uniqueCount="25">
  <si>
    <t>Fecha de Factura</t>
  </si>
  <si>
    <t>Nombre y Apellido o Razón Social</t>
  </si>
  <si>
    <t>R.I.F.</t>
  </si>
  <si>
    <t>Número de Factura</t>
  </si>
  <si>
    <t>Num. Control de Factura</t>
  </si>
  <si>
    <t>Nro de Máquina</t>
  </si>
  <si>
    <t>Reporte Z</t>
  </si>
  <si>
    <t>Nro Serie Factura</t>
  </si>
  <si>
    <t>Nro. Última Factura</t>
  </si>
  <si>
    <t>Número Nota Débito</t>
  </si>
  <si>
    <t>Número de Nota Crédito</t>
  </si>
  <si>
    <t>Número de Factura Afectada</t>
  </si>
  <si>
    <t>Total Ventas Incluyendo el IVA</t>
  </si>
  <si>
    <t>Ventas Exentas</t>
  </si>
  <si>
    <t>Base Imponible</t>
  </si>
  <si>
    <t>% Alícuota</t>
  </si>
  <si>
    <t>Débito Fiscal</t>
  </si>
  <si>
    <t>J301420608</t>
  </si>
  <si>
    <t>J297324518</t>
  </si>
  <si>
    <t>J501998191</t>
  </si>
  <si>
    <t>J505224247</t>
  </si>
  <si>
    <t>EXCELSIOR GAMA SUPERMERCADOS, C.A.</t>
  </si>
  <si>
    <t>FINANCORP LA CASTELLANA, C.A.</t>
  </si>
  <si>
    <t>LUMEN BOX, C.A.</t>
  </si>
  <si>
    <t>EZZA CREACIONES, C.A.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</si>
</sst>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u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6A44-FB61-4C94-AC7A-1B1FBEBC36DE}">
  <dimension ref="A1:Q30"/>
  <sheetViews>
    <sheetView tabSelected="1" topLeftCell="B1" zoomScale="77" zoomScaleNormal="77" workbookViewId="0">
      <selection activeCell="B2" sqref="B2:B30"/>
    </sheetView>
  </sheetViews>
  <sheetFormatPr baseColWidth="10" defaultColWidth="9.140625" defaultRowHeight="11.25" x14ac:dyDescent="0.2"/>
  <cols>
    <col min="1" max="1" width="12" style="1" customWidth="1"/>
    <col min="2" max="2" width="35" style="1" customWidth="1"/>
    <col min="3" max="3" width="15" style="1" customWidth="1"/>
    <col min="4" max="6" width="12" style="1" customWidth="1"/>
    <col min="7" max="9" width="10" style="1" customWidth="1"/>
    <col min="10" max="11" width="12" style="1" customWidth="1"/>
    <col min="12" max="12" width="15" style="1" customWidth="1"/>
    <col min="13" max="13" width="18" style="1" customWidth="1"/>
    <col min="14" max="15" width="15" style="1" customWidth="1"/>
    <col min="16" max="16" width="10" style="1" customWidth="1"/>
    <col min="17" max="17" width="15" style="1" customWidth="1"/>
    <col min="18" max="16384" width="9.140625" style="1"/>
  </cols>
  <sheetData>
    <row r="1" spans="1:17" ht="22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6" customFormat="1" x14ac:dyDescent="0.2">
      <c r="A2" s="3">
        <v>46158</v>
      </c>
      <c r="B2" s="9" t="s">
        <v>21</v>
      </c>
      <c r="C2" s="4" t="s">
        <v>17</v>
      </c>
      <c r="D2" s="8">
        <v>742</v>
      </c>
      <c r="E2" s="8">
        <v>742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5">
        <f>N2+O2+Q2</f>
        <v>222403.378</v>
      </c>
      <c r="N2" s="5">
        <v>0</v>
      </c>
      <c r="O2" s="5">
        <v>191727.05</v>
      </c>
      <c r="P2" s="7">
        <v>16</v>
      </c>
      <c r="Q2" s="5">
        <f>O2*(P2/100)</f>
        <v>30676.327999999998</v>
      </c>
    </row>
    <row r="3" spans="1:17" s="6" customFormat="1" x14ac:dyDescent="0.2">
      <c r="A3" s="3">
        <v>46163</v>
      </c>
      <c r="B3" s="9" t="s">
        <v>21</v>
      </c>
      <c r="C3" s="4" t="s">
        <v>17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51</v>
      </c>
      <c r="L3" s="8">
        <v>746</v>
      </c>
      <c r="M3" s="5">
        <f>N3+O3+Q3</f>
        <v>-262368.7536</v>
      </c>
      <c r="N3" s="5">
        <v>0</v>
      </c>
      <c r="O3" s="5">
        <v>-226179.96</v>
      </c>
      <c r="P3" s="7">
        <v>16</v>
      </c>
      <c r="Q3" s="5">
        <f t="shared" ref="Q3:Q30" si="0">O3*(P3/100)</f>
        <v>-36188.793599999997</v>
      </c>
    </row>
    <row r="4" spans="1:17" s="6" customFormat="1" x14ac:dyDescent="0.2">
      <c r="A4" s="3">
        <v>46163</v>
      </c>
      <c r="B4" s="9" t="s">
        <v>21</v>
      </c>
      <c r="C4" s="4" t="s">
        <v>17</v>
      </c>
      <c r="D4" s="8">
        <v>743</v>
      </c>
      <c r="E4" s="8">
        <v>743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5">
        <f t="shared" ref="M4:M30" si="1">N4+O4+Q4</f>
        <v>123753.5444</v>
      </c>
      <c r="N4" s="5">
        <v>0</v>
      </c>
      <c r="O4" s="5">
        <v>106684.09</v>
      </c>
      <c r="P4" s="7">
        <v>16</v>
      </c>
      <c r="Q4" s="5">
        <f t="shared" si="0"/>
        <v>17069.454399999999</v>
      </c>
    </row>
    <row r="5" spans="1:17" x14ac:dyDescent="0.2">
      <c r="A5" s="3">
        <v>46163</v>
      </c>
      <c r="B5" s="9" t="s">
        <v>21</v>
      </c>
      <c r="C5" s="4" t="s">
        <v>17</v>
      </c>
      <c r="D5" s="8">
        <v>744</v>
      </c>
      <c r="E5" s="8">
        <v>744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5">
        <f t="shared" si="1"/>
        <v>96208.543999999994</v>
      </c>
      <c r="N5" s="5">
        <v>0</v>
      </c>
      <c r="O5" s="5">
        <v>82938.399999999994</v>
      </c>
      <c r="P5" s="7">
        <v>16</v>
      </c>
      <c r="Q5" s="5">
        <f t="shared" si="0"/>
        <v>13270.144</v>
      </c>
    </row>
    <row r="6" spans="1:17" x14ac:dyDescent="0.2">
      <c r="A6" s="3">
        <v>46163</v>
      </c>
      <c r="B6" s="9" t="s">
        <v>21</v>
      </c>
      <c r="C6" s="4" t="s">
        <v>17</v>
      </c>
      <c r="D6" s="8">
        <v>745</v>
      </c>
      <c r="E6" s="8">
        <v>745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5">
        <f t="shared" si="1"/>
        <v>120627.2632</v>
      </c>
      <c r="N6" s="5">
        <v>0</v>
      </c>
      <c r="O6" s="5">
        <v>103989.02</v>
      </c>
      <c r="P6" s="7">
        <v>16</v>
      </c>
      <c r="Q6" s="5">
        <f t="shared" si="0"/>
        <v>16638.243200000001</v>
      </c>
    </row>
    <row r="7" spans="1:17" x14ac:dyDescent="0.2">
      <c r="A7" s="3">
        <v>46163</v>
      </c>
      <c r="B7" s="9" t="s">
        <v>21</v>
      </c>
      <c r="C7" s="4" t="s">
        <v>17</v>
      </c>
      <c r="D7" s="8">
        <v>746</v>
      </c>
      <c r="E7" s="8">
        <v>746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5">
        <f t="shared" si="1"/>
        <v>262368.7536</v>
      </c>
      <c r="N7" s="5">
        <v>0</v>
      </c>
      <c r="O7" s="5">
        <v>226179.96</v>
      </c>
      <c r="P7" s="7">
        <v>16</v>
      </c>
      <c r="Q7" s="5">
        <f t="shared" si="0"/>
        <v>36188.793599999997</v>
      </c>
    </row>
    <row r="8" spans="1:17" x14ac:dyDescent="0.2">
      <c r="A8" s="3">
        <v>46163</v>
      </c>
      <c r="B8" s="9" t="s">
        <v>21</v>
      </c>
      <c r="C8" s="4" t="s">
        <v>17</v>
      </c>
      <c r="D8" s="8">
        <v>747</v>
      </c>
      <c r="E8" s="8">
        <v>747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5">
        <f t="shared" si="1"/>
        <v>262368.7536</v>
      </c>
      <c r="N8" s="5">
        <v>0</v>
      </c>
      <c r="O8" s="5">
        <v>226179.96</v>
      </c>
      <c r="P8" s="7">
        <v>16</v>
      </c>
      <c r="Q8" s="5">
        <f t="shared" si="0"/>
        <v>36188.793599999997</v>
      </c>
    </row>
    <row r="9" spans="1:17" x14ac:dyDescent="0.2">
      <c r="A9" s="3">
        <v>46163</v>
      </c>
      <c r="B9" s="9" t="s">
        <v>21</v>
      </c>
      <c r="C9" s="4" t="s">
        <v>17</v>
      </c>
      <c r="D9" s="8">
        <v>748</v>
      </c>
      <c r="E9" s="8">
        <v>748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5">
        <f t="shared" si="1"/>
        <v>114489.84239999999</v>
      </c>
      <c r="N9" s="5">
        <v>0</v>
      </c>
      <c r="O9" s="5">
        <v>98698.14</v>
      </c>
      <c r="P9" s="7">
        <v>16</v>
      </c>
      <c r="Q9" s="5">
        <f t="shared" si="0"/>
        <v>15791.7024</v>
      </c>
    </row>
    <row r="10" spans="1:17" x14ac:dyDescent="0.2">
      <c r="A10" s="3">
        <v>46164</v>
      </c>
      <c r="B10" s="9" t="s">
        <v>21</v>
      </c>
      <c r="C10" s="4" t="s">
        <v>17</v>
      </c>
      <c r="D10" s="8">
        <v>749</v>
      </c>
      <c r="E10" s="8">
        <v>749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5">
        <f t="shared" si="1"/>
        <v>25842.549600000002</v>
      </c>
      <c r="N10" s="5">
        <v>0</v>
      </c>
      <c r="O10" s="5">
        <v>22278.06</v>
      </c>
      <c r="P10" s="7">
        <v>16</v>
      </c>
      <c r="Q10" s="5">
        <f t="shared" si="0"/>
        <v>3564.4896000000003</v>
      </c>
    </row>
    <row r="11" spans="1:17" x14ac:dyDescent="0.2">
      <c r="A11" s="3">
        <v>46164</v>
      </c>
      <c r="B11" s="9" t="s">
        <v>21</v>
      </c>
      <c r="C11" s="4" t="s">
        <v>17</v>
      </c>
      <c r="D11" s="8">
        <v>750</v>
      </c>
      <c r="E11" s="8">
        <v>750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5">
        <f t="shared" si="1"/>
        <v>138279.9112</v>
      </c>
      <c r="N11" s="5">
        <v>0</v>
      </c>
      <c r="O11" s="5">
        <v>119206.82</v>
      </c>
      <c r="P11" s="7">
        <v>16</v>
      </c>
      <c r="Q11" s="5">
        <f t="shared" si="0"/>
        <v>19073.091200000003</v>
      </c>
    </row>
    <row r="12" spans="1:17" x14ac:dyDescent="0.2">
      <c r="A12" s="3">
        <v>46164</v>
      </c>
      <c r="B12" s="9" t="s">
        <v>21</v>
      </c>
      <c r="C12" s="4" t="s">
        <v>17</v>
      </c>
      <c r="D12" s="8">
        <v>751</v>
      </c>
      <c r="E12" s="8">
        <v>751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5">
        <f t="shared" si="1"/>
        <v>76684.607199999999</v>
      </c>
      <c r="N12" s="5">
        <v>0</v>
      </c>
      <c r="O12" s="5">
        <v>66107.42</v>
      </c>
      <c r="P12" s="7">
        <v>16</v>
      </c>
      <c r="Q12" s="5">
        <f t="shared" si="0"/>
        <v>10577.1872</v>
      </c>
    </row>
    <row r="13" spans="1:17" x14ac:dyDescent="0.2">
      <c r="A13" s="3">
        <v>46165</v>
      </c>
      <c r="B13" s="9" t="s">
        <v>21</v>
      </c>
      <c r="C13" s="4" t="s">
        <v>17</v>
      </c>
      <c r="D13" s="8">
        <v>752</v>
      </c>
      <c r="E13" s="8">
        <v>752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5">
        <f t="shared" si="1"/>
        <v>326153.19799999997</v>
      </c>
      <c r="N13" s="5">
        <v>0</v>
      </c>
      <c r="O13" s="5">
        <v>281166.55</v>
      </c>
      <c r="P13" s="7">
        <v>16</v>
      </c>
      <c r="Q13" s="5">
        <f t="shared" si="0"/>
        <v>44986.648000000001</v>
      </c>
    </row>
    <row r="14" spans="1:17" x14ac:dyDescent="0.2">
      <c r="A14" s="3">
        <v>46165</v>
      </c>
      <c r="B14" s="9" t="s">
        <v>21</v>
      </c>
      <c r="C14" s="4" t="s">
        <v>17</v>
      </c>
      <c r="D14" s="8">
        <v>753</v>
      </c>
      <c r="E14" s="8">
        <v>753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5">
        <f t="shared" si="1"/>
        <v>101125.6796</v>
      </c>
      <c r="N14" s="5">
        <v>0</v>
      </c>
      <c r="O14" s="5">
        <v>87177.31</v>
      </c>
      <c r="P14" s="7">
        <v>16</v>
      </c>
      <c r="Q14" s="5">
        <f t="shared" si="0"/>
        <v>13948.3696</v>
      </c>
    </row>
    <row r="15" spans="1:17" x14ac:dyDescent="0.2">
      <c r="A15" s="3">
        <v>46165</v>
      </c>
      <c r="B15" s="9" t="s">
        <v>21</v>
      </c>
      <c r="C15" s="4" t="s">
        <v>17</v>
      </c>
      <c r="D15" s="8">
        <v>754</v>
      </c>
      <c r="E15" s="8">
        <v>754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5">
        <f t="shared" si="1"/>
        <v>226544.91440000001</v>
      </c>
      <c r="N15" s="5">
        <v>0</v>
      </c>
      <c r="O15" s="5">
        <v>195297.34</v>
      </c>
      <c r="P15" s="7">
        <v>16</v>
      </c>
      <c r="Q15" s="5">
        <f t="shared" si="0"/>
        <v>31247.574400000001</v>
      </c>
    </row>
    <row r="16" spans="1:17" x14ac:dyDescent="0.2">
      <c r="A16" s="3">
        <v>46165</v>
      </c>
      <c r="B16" s="9" t="s">
        <v>21</v>
      </c>
      <c r="C16" s="4" t="s">
        <v>17</v>
      </c>
      <c r="D16" s="8">
        <v>755</v>
      </c>
      <c r="E16" s="8">
        <v>755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5">
        <f t="shared" si="1"/>
        <v>161630.3052</v>
      </c>
      <c r="N16" s="5">
        <v>0</v>
      </c>
      <c r="O16" s="5">
        <v>139336.47</v>
      </c>
      <c r="P16" s="7">
        <v>16</v>
      </c>
      <c r="Q16" s="5">
        <f t="shared" si="0"/>
        <v>22293.835200000001</v>
      </c>
    </row>
    <row r="17" spans="1:17" x14ac:dyDescent="0.2">
      <c r="A17" s="3">
        <v>46170</v>
      </c>
      <c r="B17" s="9" t="s">
        <v>22</v>
      </c>
      <c r="C17" s="4" t="s">
        <v>18</v>
      </c>
      <c r="D17" s="8">
        <v>756</v>
      </c>
      <c r="E17" s="8">
        <v>756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5">
        <f t="shared" si="1"/>
        <v>53695.588000000003</v>
      </c>
      <c r="N17" s="5">
        <v>0</v>
      </c>
      <c r="O17" s="5">
        <v>46289.3</v>
      </c>
      <c r="P17" s="7">
        <v>16</v>
      </c>
      <c r="Q17" s="5">
        <f t="shared" si="0"/>
        <v>7406.2880000000005</v>
      </c>
    </row>
    <row r="18" spans="1:17" x14ac:dyDescent="0.2">
      <c r="A18" s="3">
        <v>46170</v>
      </c>
      <c r="B18" s="9" t="s">
        <v>23</v>
      </c>
      <c r="C18" s="4" t="s">
        <v>19</v>
      </c>
      <c r="D18" s="8">
        <v>757</v>
      </c>
      <c r="E18" s="8">
        <v>757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5">
        <f t="shared" si="1"/>
        <v>36639.342400000001</v>
      </c>
      <c r="N18" s="5">
        <v>0</v>
      </c>
      <c r="O18" s="5">
        <v>31585.64</v>
      </c>
      <c r="P18" s="7">
        <v>16</v>
      </c>
      <c r="Q18" s="5">
        <f t="shared" si="0"/>
        <v>5053.7024000000001</v>
      </c>
    </row>
    <row r="19" spans="1:17" x14ac:dyDescent="0.2">
      <c r="A19" s="3">
        <v>46170</v>
      </c>
      <c r="B19" s="9" t="s">
        <v>24</v>
      </c>
      <c r="C19" s="4" t="s">
        <v>20</v>
      </c>
      <c r="D19" s="8">
        <v>758</v>
      </c>
      <c r="E19" s="8">
        <v>758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5">
        <f t="shared" si="1"/>
        <v>55590.7264</v>
      </c>
      <c r="N19" s="5">
        <v>0</v>
      </c>
      <c r="O19" s="5">
        <v>47923.040000000001</v>
      </c>
      <c r="P19" s="7">
        <v>16</v>
      </c>
      <c r="Q19" s="5">
        <f t="shared" si="0"/>
        <v>7667.6864000000005</v>
      </c>
    </row>
    <row r="20" spans="1:17" x14ac:dyDescent="0.2">
      <c r="A20" s="3">
        <v>46171</v>
      </c>
      <c r="B20" s="9" t="s">
        <v>21</v>
      </c>
      <c r="C20" s="4" t="s">
        <v>17</v>
      </c>
      <c r="D20" s="8">
        <v>759</v>
      </c>
      <c r="E20" s="8">
        <v>759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5">
        <f t="shared" si="1"/>
        <v>128063.478</v>
      </c>
      <c r="N20" s="5">
        <v>0</v>
      </c>
      <c r="O20" s="5">
        <v>110399.55</v>
      </c>
      <c r="P20" s="7">
        <v>16</v>
      </c>
      <c r="Q20" s="5">
        <f t="shared" si="0"/>
        <v>17663.928</v>
      </c>
    </row>
    <row r="21" spans="1:17" x14ac:dyDescent="0.2">
      <c r="A21" s="3">
        <v>46171</v>
      </c>
      <c r="B21" s="9" t="s">
        <v>21</v>
      </c>
      <c r="C21" s="4" t="s">
        <v>17</v>
      </c>
      <c r="D21" s="8">
        <v>760</v>
      </c>
      <c r="E21" s="8">
        <v>760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5">
        <f t="shared" si="1"/>
        <v>108698.2408</v>
      </c>
      <c r="N21" s="5">
        <v>0</v>
      </c>
      <c r="O21" s="5">
        <v>93705.38</v>
      </c>
      <c r="P21" s="7">
        <v>16</v>
      </c>
      <c r="Q21" s="5">
        <f t="shared" si="0"/>
        <v>14992.8608</v>
      </c>
    </row>
    <row r="22" spans="1:17" x14ac:dyDescent="0.2">
      <c r="A22" s="3">
        <v>46171</v>
      </c>
      <c r="B22" s="9" t="s">
        <v>21</v>
      </c>
      <c r="C22" s="4" t="s">
        <v>17</v>
      </c>
      <c r="D22" s="8">
        <v>761</v>
      </c>
      <c r="E22" s="8">
        <v>761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5">
        <f t="shared" si="1"/>
        <v>35928.772800000006</v>
      </c>
      <c r="N22" s="5">
        <v>0</v>
      </c>
      <c r="O22" s="5">
        <v>30973.08</v>
      </c>
      <c r="P22" s="7">
        <v>16</v>
      </c>
      <c r="Q22" s="5">
        <f t="shared" si="0"/>
        <v>4955.6928000000007</v>
      </c>
    </row>
    <row r="23" spans="1:17" x14ac:dyDescent="0.2">
      <c r="A23" s="3">
        <v>46171</v>
      </c>
      <c r="B23" s="9" t="s">
        <v>21</v>
      </c>
      <c r="C23" s="4" t="s">
        <v>17</v>
      </c>
      <c r="D23" s="8">
        <v>762</v>
      </c>
      <c r="E23" s="8">
        <v>762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5">
        <f t="shared" si="1"/>
        <v>118323.1784</v>
      </c>
      <c r="N23" s="5">
        <v>0</v>
      </c>
      <c r="O23" s="5">
        <v>102002.74</v>
      </c>
      <c r="P23" s="7">
        <v>16</v>
      </c>
      <c r="Q23" s="5">
        <f t="shared" si="0"/>
        <v>16320.438400000001</v>
      </c>
    </row>
    <row r="24" spans="1:17" x14ac:dyDescent="0.2">
      <c r="A24" s="3">
        <v>46171</v>
      </c>
      <c r="B24" s="9" t="s">
        <v>21</v>
      </c>
      <c r="C24" s="4" t="s">
        <v>17</v>
      </c>
      <c r="D24" s="8">
        <v>763</v>
      </c>
      <c r="E24" s="8">
        <v>763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5">
        <f t="shared" si="1"/>
        <v>172584.41720000003</v>
      </c>
      <c r="N24" s="5">
        <v>0</v>
      </c>
      <c r="O24" s="5">
        <v>148779.67000000001</v>
      </c>
      <c r="P24" s="7">
        <v>16</v>
      </c>
      <c r="Q24" s="5">
        <f t="shared" si="0"/>
        <v>23804.747200000002</v>
      </c>
    </row>
    <row r="25" spans="1:17" x14ac:dyDescent="0.2">
      <c r="A25" s="3">
        <v>46171</v>
      </c>
      <c r="B25" s="9" t="s">
        <v>21</v>
      </c>
      <c r="C25" s="4" t="s">
        <v>17</v>
      </c>
      <c r="D25" s="8">
        <v>764</v>
      </c>
      <c r="E25" s="8">
        <v>764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5">
        <f t="shared" si="1"/>
        <v>165827.16200000001</v>
      </c>
      <c r="N25" s="5">
        <v>0</v>
      </c>
      <c r="O25" s="5">
        <v>142954.45000000001</v>
      </c>
      <c r="P25" s="7">
        <v>16</v>
      </c>
      <c r="Q25" s="5">
        <f t="shared" si="0"/>
        <v>22872.712000000003</v>
      </c>
    </row>
    <row r="26" spans="1:17" x14ac:dyDescent="0.2">
      <c r="A26" s="3">
        <v>46171</v>
      </c>
      <c r="B26" s="9" t="s">
        <v>21</v>
      </c>
      <c r="C26" s="4" t="s">
        <v>17</v>
      </c>
      <c r="D26" s="8">
        <v>765</v>
      </c>
      <c r="E26" s="8">
        <v>765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5">
        <f t="shared" si="1"/>
        <v>95002.433999999994</v>
      </c>
      <c r="N26" s="5">
        <v>0</v>
      </c>
      <c r="O26" s="5">
        <v>81898.649999999994</v>
      </c>
      <c r="P26" s="7">
        <v>16</v>
      </c>
      <c r="Q26" s="5">
        <f t="shared" si="0"/>
        <v>13103.784</v>
      </c>
    </row>
    <row r="27" spans="1:17" x14ac:dyDescent="0.2">
      <c r="A27" s="3">
        <v>46172</v>
      </c>
      <c r="B27" s="9" t="s">
        <v>21</v>
      </c>
      <c r="C27" s="4" t="s">
        <v>17</v>
      </c>
      <c r="D27" s="8">
        <v>766</v>
      </c>
      <c r="E27" s="8">
        <v>766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5">
        <f t="shared" si="1"/>
        <v>289451.83039999998</v>
      </c>
      <c r="N27" s="5">
        <v>0</v>
      </c>
      <c r="O27" s="5">
        <v>249527.44</v>
      </c>
      <c r="P27" s="7">
        <v>16</v>
      </c>
      <c r="Q27" s="5">
        <f t="shared" si="0"/>
        <v>39924.390400000004</v>
      </c>
    </row>
    <row r="28" spans="1:17" x14ac:dyDescent="0.2">
      <c r="A28" s="3">
        <v>46172</v>
      </c>
      <c r="B28" s="9" t="s">
        <v>21</v>
      </c>
      <c r="C28" s="4" t="s">
        <v>17</v>
      </c>
      <c r="D28" s="8">
        <v>767</v>
      </c>
      <c r="E28" s="8">
        <v>767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5">
        <f t="shared" si="1"/>
        <v>150829.40600000002</v>
      </c>
      <c r="N28" s="5">
        <v>0</v>
      </c>
      <c r="O28" s="5">
        <v>130025.35</v>
      </c>
      <c r="P28" s="7">
        <v>16</v>
      </c>
      <c r="Q28" s="5">
        <f t="shared" si="0"/>
        <v>20804.056</v>
      </c>
    </row>
    <row r="29" spans="1:17" x14ac:dyDescent="0.2">
      <c r="A29" s="3">
        <v>46172</v>
      </c>
      <c r="B29" s="9" t="s">
        <v>21</v>
      </c>
      <c r="C29" s="4" t="s">
        <v>17</v>
      </c>
      <c r="D29" s="8">
        <v>768</v>
      </c>
      <c r="E29" s="8">
        <v>768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5">
        <f t="shared" si="1"/>
        <v>300587.49400000001</v>
      </c>
      <c r="N29" s="5">
        <v>0</v>
      </c>
      <c r="O29" s="5">
        <v>259127.15</v>
      </c>
      <c r="P29" s="7">
        <v>16</v>
      </c>
      <c r="Q29" s="5">
        <f t="shared" si="0"/>
        <v>41460.343999999997</v>
      </c>
    </row>
    <row r="30" spans="1:17" x14ac:dyDescent="0.2">
      <c r="A30" s="3">
        <v>46172</v>
      </c>
      <c r="B30" s="9" t="s">
        <v>21</v>
      </c>
      <c r="C30" s="4" t="s">
        <v>17</v>
      </c>
      <c r="D30" s="8">
        <v>769</v>
      </c>
      <c r="E30" s="8">
        <v>769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5">
        <f t="shared" si="1"/>
        <v>139528.85999999999</v>
      </c>
      <c r="N30" s="5">
        <v>0</v>
      </c>
      <c r="O30" s="5">
        <v>120283.5</v>
      </c>
      <c r="P30" s="7">
        <v>16</v>
      </c>
      <c r="Q30" s="5">
        <f t="shared" si="0"/>
        <v>19245.36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Rodriguez Colmenares</cp:lastModifiedBy>
  <dcterms:created xsi:type="dcterms:W3CDTF">2026-04-30T13:39:10Z</dcterms:created>
  <dcterms:modified xsi:type="dcterms:W3CDTF">2026-06-05T20:45:46Z</dcterms:modified>
</cp:coreProperties>
</file>