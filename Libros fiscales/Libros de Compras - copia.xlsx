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"/>
    </mc:Choice>
  </mc:AlternateContent>
  <xr:revisionPtr revIDLastSave="0" documentId="13_ncr:1_{36843954-C16F-4BB3-AAE3-0DF075F55E21}" xr6:coauthVersionLast="47" xr6:coauthVersionMax="47" xr10:uidLastSave="{00000000-0000-0000-0000-000000000000}"/>
  <bookViews>
    <workbookView xWindow="-120" yWindow="-120" windowWidth="20730" windowHeight="11160" firstSheet="1" activeTab="1" xr2:uid="{B811DCE1-C6D5-4BE1-A725-50EB07801725}"/>
  </bookViews>
  <sheets>
    <sheet name="Libro de Compras" sheetId="2" state="hidden" r:id="rId1"/>
    <sheet name="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5" l="1"/>
  <c r="G4" i="5" s="1"/>
  <c r="K3" i="5"/>
  <c r="G3" i="5"/>
  <c r="B20" i="2"/>
  <c r="C20" i="2"/>
  <c r="D20" i="2"/>
  <c r="E20" i="2"/>
  <c r="F20" i="2"/>
  <c r="H20" i="2"/>
  <c r="H38" i="2" s="1"/>
  <c r="O52" i="2" s="1"/>
  <c r="I20" i="2"/>
  <c r="I38" i="2" s="1"/>
  <c r="O54" i="2" s="1"/>
  <c r="P54" i="2" s="1"/>
  <c r="P56" i="2" s="1"/>
  <c r="P58" i="2" s="1"/>
  <c r="A20" i="2"/>
  <c r="K2" i="5"/>
  <c r="P69" i="2"/>
  <c r="O69" i="2"/>
  <c r="O48" i="2"/>
  <c r="P48" i="2"/>
  <c r="K38" i="2"/>
  <c r="M38" i="2"/>
  <c r="J32" i="2"/>
  <c r="L32" i="2"/>
  <c r="N32" i="2"/>
  <c r="J33" i="2"/>
  <c r="L33" i="2"/>
  <c r="N33" i="2"/>
  <c r="J34" i="2"/>
  <c r="L34" i="2"/>
  <c r="N34" i="2"/>
  <c r="J35" i="2"/>
  <c r="L35" i="2"/>
  <c r="N35" i="2"/>
  <c r="J36" i="2"/>
  <c r="L36" i="2"/>
  <c r="N36" i="2"/>
  <c r="J37" i="2"/>
  <c r="L37" i="2"/>
  <c r="N37" i="2"/>
  <c r="J21" i="2"/>
  <c r="L21" i="2"/>
  <c r="N21" i="2"/>
  <c r="J22" i="2"/>
  <c r="L22" i="2"/>
  <c r="N22" i="2"/>
  <c r="J23" i="2"/>
  <c r="L23" i="2"/>
  <c r="N23" i="2"/>
  <c r="J24" i="2"/>
  <c r="L24" i="2"/>
  <c r="N24" i="2"/>
  <c r="J25" i="2"/>
  <c r="L25" i="2"/>
  <c r="N25" i="2"/>
  <c r="J26" i="2"/>
  <c r="L26" i="2"/>
  <c r="N26" i="2"/>
  <c r="J27" i="2"/>
  <c r="L27" i="2"/>
  <c r="N27" i="2"/>
  <c r="J28" i="2"/>
  <c r="L28" i="2"/>
  <c r="N28" i="2"/>
  <c r="J29" i="2"/>
  <c r="L29" i="2"/>
  <c r="N29" i="2"/>
  <c r="J30" i="2"/>
  <c r="L30" i="2"/>
  <c r="N30" i="2"/>
  <c r="J31" i="2"/>
  <c r="L31" i="2"/>
  <c r="N31" i="2"/>
  <c r="N20" i="2"/>
  <c r="L20" i="2"/>
  <c r="J20" i="2" l="1"/>
  <c r="O56" i="2"/>
  <c r="O58" i="2" s="1"/>
  <c r="G2" i="5"/>
  <c r="G20" i="2" s="1"/>
  <c r="L38" i="2"/>
  <c r="P31" i="2"/>
  <c r="P28" i="2"/>
  <c r="G23" i="2"/>
  <c r="G28" i="2"/>
  <c r="G24" i="2"/>
  <c r="G25" i="2"/>
  <c r="G34" i="2"/>
  <c r="P35" i="2"/>
  <c r="G36" i="2"/>
  <c r="P24" i="2"/>
  <c r="P37" i="2"/>
  <c r="G35" i="2"/>
  <c r="J38" i="2"/>
  <c r="G29" i="2"/>
  <c r="G27" i="2"/>
  <c r="G21" i="2"/>
  <c r="G32" i="2"/>
  <c r="P20" i="2"/>
  <c r="G26" i="2"/>
  <c r="N38" i="2"/>
  <c r="G30" i="2"/>
  <c r="G22" i="2"/>
  <c r="G33" i="2"/>
  <c r="G37" i="2"/>
  <c r="P34" i="2"/>
  <c r="P33" i="2"/>
  <c r="P36" i="2"/>
  <c r="P32" i="2"/>
  <c r="G31" i="2"/>
  <c r="P27" i="2"/>
  <c r="P23" i="2"/>
  <c r="P30" i="2"/>
  <c r="P26" i="2"/>
  <c r="P22" i="2"/>
  <c r="P29" i="2"/>
  <c r="P25" i="2"/>
  <c r="P21" i="2"/>
  <c r="G38" i="2" l="1"/>
  <c r="P38" i="2"/>
</calcChain>
</file>

<file path=xl/sharedStrings.xml><?xml version="1.0" encoding="utf-8"?>
<sst xmlns="http://schemas.openxmlformats.org/spreadsheetml/2006/main" count="95" uniqueCount="59">
  <si>
    <t>Fecha</t>
  </si>
  <si>
    <t>Tipo de Documento</t>
  </si>
  <si>
    <t>Número de Documento</t>
  </si>
  <si>
    <t>Número de Control</t>
  </si>
  <si>
    <t>Nombre o Razón Social</t>
  </si>
  <si>
    <t>R.I.F.</t>
  </si>
  <si>
    <t>Total Compras</t>
  </si>
  <si>
    <t>Compras Exentas</t>
  </si>
  <si>
    <t>Base Imponible</t>
  </si>
  <si>
    <t>BASE IMPONIBLE</t>
  </si>
  <si>
    <t>Ventas internas no gravadas</t>
  </si>
  <si>
    <t>-</t>
  </si>
  <si>
    <t>Ventas internas gravadas por alícuota general</t>
  </si>
  <si>
    <t>Ajustes a los débitos fiscales de periodos anteriores</t>
  </si>
  <si>
    <t>Total ventas y débitos fiscales para efectos de determinación</t>
  </si>
  <si>
    <t>Total Débitos Fiscales</t>
  </si>
  <si>
    <t>Compras no gravadas y/o sin derecho a crédito fiscal</t>
  </si>
  <si>
    <t>Importación gravadas por alícuota general</t>
  </si>
  <si>
    <t>Compras internas gravadas por alícuota general</t>
  </si>
  <si>
    <t>Compras internas gravadas por alícuota reducida</t>
  </si>
  <si>
    <t>Total compras y créditos fiscales del periodo</t>
  </si>
  <si>
    <t>Ajustes a los créditos fiscales de periodos anteriores</t>
  </si>
  <si>
    <t>Total Créditos Fiscales</t>
  </si>
  <si>
    <t>TOTAL CUOTA TRIBUTARIA DEL PERIODO</t>
  </si>
  <si>
    <t>Anticipo Iva semana anterior</t>
  </si>
  <si>
    <t>0</t>
  </si>
  <si>
    <t>Excedente créditos fiscales para el mes siguiente</t>
  </si>
  <si>
    <t>Retenciones Acumuladas por descontar</t>
  </si>
  <si>
    <t>Retenciones del Periodo</t>
  </si>
  <si>
    <t>Total Retenciones</t>
  </si>
  <si>
    <t>Retenciones soportadas y descontadas en esta declaración</t>
  </si>
  <si>
    <t>Saldo de Retenciones de IVA no aplicado</t>
  </si>
  <si>
    <t>TOTAL A PAGAR</t>
  </si>
  <si>
    <t>Direccion</t>
  </si>
  <si>
    <t>Libro de Compra</t>
  </si>
  <si>
    <t>Fecha de 
Operación</t>
  </si>
  <si>
    <t>Compras Nacionales (16%)</t>
  </si>
  <si>
    <t>Compras Importacion (16%)</t>
  </si>
  <si>
    <t>Alicuota Reducida (8%)</t>
  </si>
  <si>
    <t>Credito Fiscales</t>
  </si>
  <si>
    <t>Retencion 75%</t>
  </si>
  <si>
    <t>Nº 
Documento</t>
  </si>
  <si>
    <t>TOTALES</t>
  </si>
  <si>
    <t>Resumen Debitos Fiscales</t>
  </si>
  <si>
    <t xml:space="preserve">DÉBITOS FISCALES </t>
  </si>
  <si>
    <t>Resumen Creditos Fiscales</t>
  </si>
  <si>
    <t>CRÉDITOS FISCALES</t>
  </si>
  <si>
    <t>CRÉDITO FISCAL</t>
  </si>
  <si>
    <t>AUTOLIQUIDACIÓN</t>
  </si>
  <si>
    <t>R.I.F:</t>
  </si>
  <si>
    <t xml:space="preserve">Razon Social: </t>
  </si>
  <si>
    <t>KING DRIVER, C.A.</t>
  </si>
  <si>
    <t>J507757188</t>
  </si>
  <si>
    <t>Periodo:</t>
  </si>
  <si>
    <t>31/04/2026</t>
  </si>
  <si>
    <t>AV. JOSE ANTONIO PAEZ EDIF RESIDENCIAS 2000 RESIDENCIAS CECILIA PISO PH APT 43 URB EL PARAISO CARACAS DISTRITO CAPITAL ZONA POSTAL 1020.</t>
  </si>
  <si>
    <t>Alicuota
 (%)</t>
  </si>
  <si>
    <t>Carlos Jose Rodrguez Colmenares</t>
  </si>
  <si>
    <t>V149899452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</si>
</sst>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"/>
    <numFmt numFmtId="165" formatCode="00000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43" fontId="2" fillId="2" borderId="0" xfId="1" applyFont="1" applyFill="1"/>
    <xf numFmtId="43" fontId="2" fillId="2" borderId="1" xfId="1" applyFont="1" applyFill="1" applyBorder="1"/>
    <xf numFmtId="0" fontId="3" fillId="3" borderId="12" xfId="0" applyFont="1" applyFill="1" applyBorder="1" applyAlignment="1">
      <alignment horizontal="center" vertical="center" wrapText="1"/>
    </xf>
    <xf numFmtId="9" fontId="3" fillId="3" borderId="12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14" xfId="0" applyFont="1" applyFill="1" applyBorder="1" applyAlignment="1">
      <alignment horizontal="center"/>
    </xf>
    <xf numFmtId="43" fontId="2" fillId="2" borderId="14" xfId="1" applyFont="1" applyFill="1" applyBorder="1"/>
    <xf numFmtId="43" fontId="2" fillId="2" borderId="15" xfId="1" applyFont="1" applyFill="1" applyBorder="1"/>
    <xf numFmtId="0" fontId="2" fillId="2" borderId="16" xfId="0" applyFont="1" applyFill="1" applyBorder="1"/>
    <xf numFmtId="43" fontId="2" fillId="2" borderId="17" xfId="1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19" xfId="0" applyFont="1" applyFill="1" applyBorder="1" applyAlignment="1">
      <alignment horizontal="center"/>
    </xf>
    <xf numFmtId="43" fontId="2" fillId="2" borderId="19" xfId="1" applyFont="1" applyFill="1" applyBorder="1"/>
    <xf numFmtId="43" fontId="2" fillId="2" borderId="20" xfId="1" applyFont="1" applyFill="1" applyBorder="1"/>
    <xf numFmtId="43" fontId="2" fillId="3" borderId="24" xfId="0" applyNumberFormat="1" applyFont="1" applyFill="1" applyBorder="1"/>
    <xf numFmtId="43" fontId="2" fillId="3" borderId="25" xfId="0" applyNumberFormat="1" applyFont="1" applyFill="1" applyBorder="1"/>
    <xf numFmtId="43" fontId="2" fillId="3" borderId="26" xfId="0" applyNumberFormat="1" applyFont="1" applyFill="1" applyBorder="1"/>
    <xf numFmtId="0" fontId="3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/>
    <xf numFmtId="0" fontId="3" fillId="3" borderId="0" xfId="0" applyFont="1" applyFill="1"/>
    <xf numFmtId="0" fontId="2" fillId="3" borderId="0" xfId="0" applyFont="1" applyFill="1"/>
    <xf numFmtId="43" fontId="2" fillId="3" borderId="0" xfId="0" applyNumberFormat="1" applyFont="1" applyFill="1"/>
    <xf numFmtId="0" fontId="3" fillId="3" borderId="0" xfId="0" applyFont="1" applyFill="1" applyAlignment="1">
      <alignment horizontal="center"/>
    </xf>
    <xf numFmtId="0" fontId="3" fillId="2" borderId="2" xfId="0" applyFont="1" applyFill="1" applyBorder="1" applyAlignment="1"/>
    <xf numFmtId="0" fontId="3" fillId="2" borderId="5" xfId="0" applyFont="1" applyFill="1" applyBorder="1" applyAlignment="1"/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/>
    <xf numFmtId="0" fontId="2" fillId="2" borderId="0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14" fontId="2" fillId="2" borderId="13" xfId="0" applyNumberFormat="1" applyFont="1" applyFill="1" applyBorder="1"/>
    <xf numFmtId="164" fontId="2" fillId="2" borderId="14" xfId="0" applyNumberFormat="1" applyFont="1" applyFill="1" applyBorder="1" applyAlignment="1">
      <alignment horizontal="center"/>
    </xf>
    <xf numFmtId="165" fontId="2" fillId="2" borderId="14" xfId="0" applyNumberFormat="1" applyFont="1" applyFill="1" applyBorder="1" applyAlignment="1">
      <alignment horizontal="center"/>
    </xf>
    <xf numFmtId="43" fontId="2" fillId="3" borderId="0" xfId="1" applyFont="1" applyFill="1"/>
    <xf numFmtId="43" fontId="3" fillId="3" borderId="0" xfId="0" applyNumberFormat="1" applyFont="1" applyFill="1"/>
    <xf numFmtId="166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B431-5E53-42DD-BC92-C96BA1D50306}">
  <dimension ref="A2:P69"/>
  <sheetViews>
    <sheetView zoomScale="80" zoomScaleNormal="80" workbookViewId="0">
      <selection activeCell="M4" sqref="M4:M5"/>
    </sheetView>
  </sheetViews>
  <sheetFormatPr baseColWidth="10" defaultRowHeight="11.25" x14ac:dyDescent="0.2"/>
  <cols>
    <col min="1" max="1" width="14.28515625" style="1" bestFit="1" customWidth="1"/>
    <col min="2" max="4" width="11.42578125" style="1"/>
    <col min="5" max="5" width="28.5703125" style="1" customWidth="1"/>
    <col min="6" max="6" width="11.42578125" style="2"/>
    <col min="7" max="8" width="11.42578125" style="1"/>
    <col min="9" max="16" width="13.28515625" style="1" customWidth="1"/>
    <col min="17" max="16384" width="11.42578125" style="1"/>
  </cols>
  <sheetData>
    <row r="2" spans="1:7" x14ac:dyDescent="0.2">
      <c r="A2" s="31" t="s">
        <v>50</v>
      </c>
      <c r="B2" s="59" t="s">
        <v>51</v>
      </c>
      <c r="C2" s="59"/>
      <c r="D2" s="59"/>
      <c r="E2" s="59"/>
      <c r="F2" s="59"/>
      <c r="G2" s="60"/>
    </row>
    <row r="3" spans="1:7" x14ac:dyDescent="0.2">
      <c r="A3" s="32" t="s">
        <v>49</v>
      </c>
      <c r="B3" s="57" t="s">
        <v>52</v>
      </c>
      <c r="C3" s="57"/>
      <c r="D3" s="57"/>
      <c r="E3" s="57"/>
      <c r="F3" s="57"/>
      <c r="G3" s="58"/>
    </row>
    <row r="4" spans="1:7" ht="31.5" customHeight="1" x14ac:dyDescent="0.2">
      <c r="A4" s="33" t="s">
        <v>33</v>
      </c>
      <c r="B4" s="55" t="s">
        <v>55</v>
      </c>
      <c r="C4" s="55"/>
      <c r="D4" s="55"/>
      <c r="E4" s="55"/>
      <c r="F4" s="55"/>
      <c r="G4" s="56"/>
    </row>
    <row r="5" spans="1:7" x14ac:dyDescent="0.2">
      <c r="A5" s="32" t="s">
        <v>34</v>
      </c>
      <c r="B5" s="35"/>
      <c r="C5" s="35"/>
      <c r="D5" s="35"/>
      <c r="E5" s="35"/>
      <c r="F5" s="35"/>
      <c r="G5" s="36"/>
    </row>
    <row r="6" spans="1:7" x14ac:dyDescent="0.2">
      <c r="A6" s="32" t="s">
        <v>53</v>
      </c>
      <c r="B6" s="57">
        <v>202604</v>
      </c>
      <c r="C6" s="57"/>
      <c r="D6" s="57"/>
      <c r="E6" s="57"/>
      <c r="F6" s="57"/>
      <c r="G6" s="58"/>
    </row>
    <row r="7" spans="1:7" x14ac:dyDescent="0.2">
      <c r="A7" s="34" t="s">
        <v>0</v>
      </c>
      <c r="B7" s="61" t="s">
        <v>54</v>
      </c>
      <c r="C7" s="61"/>
      <c r="D7" s="61"/>
      <c r="E7" s="61"/>
      <c r="F7" s="61"/>
      <c r="G7" s="62"/>
    </row>
    <row r="18" spans="1:16" x14ac:dyDescent="0.2">
      <c r="I18" s="46" t="s">
        <v>36</v>
      </c>
      <c r="J18" s="47"/>
      <c r="K18" s="46" t="s">
        <v>37</v>
      </c>
      <c r="L18" s="47"/>
      <c r="M18" s="46" t="s">
        <v>38</v>
      </c>
      <c r="N18" s="47"/>
      <c r="O18" s="46" t="s">
        <v>40</v>
      </c>
      <c r="P18" s="47"/>
    </row>
    <row r="19" spans="1:16" s="5" customFormat="1" ht="23.25" thickBot="1" x14ac:dyDescent="0.3">
      <c r="A19" s="8" t="s">
        <v>35</v>
      </c>
      <c r="B19" s="8" t="s">
        <v>1</v>
      </c>
      <c r="C19" s="8" t="s">
        <v>2</v>
      </c>
      <c r="D19" s="8" t="s">
        <v>3</v>
      </c>
      <c r="E19" s="8" t="s">
        <v>4</v>
      </c>
      <c r="F19" s="8" t="s">
        <v>5</v>
      </c>
      <c r="G19" s="8" t="s">
        <v>6</v>
      </c>
      <c r="H19" s="8" t="s">
        <v>7</v>
      </c>
      <c r="I19" s="8" t="s">
        <v>8</v>
      </c>
      <c r="J19" s="8" t="s">
        <v>39</v>
      </c>
      <c r="K19" s="8" t="s">
        <v>8</v>
      </c>
      <c r="L19" s="8" t="s">
        <v>39</v>
      </c>
      <c r="M19" s="8" t="s">
        <v>8</v>
      </c>
      <c r="N19" s="8" t="s">
        <v>39</v>
      </c>
      <c r="O19" s="8" t="s">
        <v>41</v>
      </c>
      <c r="P19" s="9">
        <v>0.75</v>
      </c>
    </row>
    <row r="20" spans="1:16" x14ac:dyDescent="0.2">
      <c r="A20" s="37">
        <f>Data!A2</f>
        <v>46249</v>
      </c>
      <c r="B20" s="38">
        <f>Data!B2</f>
        <v>1</v>
      </c>
      <c r="C20" s="39">
        <f>Data!C2</f>
        <v>5</v>
      </c>
      <c r="D20" s="39">
        <f>Data!D2</f>
        <v>5</v>
      </c>
      <c r="E20" s="10" t="str">
        <f>Data!E2</f>
        <v>Carlos Jose Rodrguez Colmenares</v>
      </c>
      <c r="F20" s="11" t="str">
        <f>Data!F2</f>
        <v>V149899452</v>
      </c>
      <c r="G20" s="12">
        <f>Data!G2</f>
        <v>19280</v>
      </c>
      <c r="H20" s="12">
        <f>Data!H2</f>
        <v>10000</v>
      </c>
      <c r="I20" s="12">
        <f>Data!I2</f>
        <v>8000</v>
      </c>
      <c r="J20" s="12">
        <f>I20*16/100</f>
        <v>1280</v>
      </c>
      <c r="K20" s="12">
        <v>0</v>
      </c>
      <c r="L20" s="12">
        <f>K20*16/100</f>
        <v>0</v>
      </c>
      <c r="M20" s="12">
        <v>0</v>
      </c>
      <c r="N20" s="12">
        <f>M20*8/100</f>
        <v>0</v>
      </c>
      <c r="O20" s="12"/>
      <c r="P20" s="13">
        <f>(J20*75)+(L20*75/100)+(N20*75/100)</f>
        <v>96000</v>
      </c>
    </row>
    <row r="21" spans="1:16" x14ac:dyDescent="0.2">
      <c r="A21" s="14"/>
      <c r="B21" s="3"/>
      <c r="C21" s="3"/>
      <c r="D21" s="3"/>
      <c r="E21" s="3"/>
      <c r="F21" s="4"/>
      <c r="G21" s="7">
        <f t="shared" ref="G21:G31" si="0">H21+I21+J21+K21+L21+M21+N21</f>
        <v>0</v>
      </c>
      <c r="H21" s="7">
        <v>0</v>
      </c>
      <c r="I21" s="7"/>
      <c r="J21" s="7">
        <f t="shared" ref="J21:J37" si="1">I21*16/100</f>
        <v>0</v>
      </c>
      <c r="K21" s="7"/>
      <c r="L21" s="7">
        <f t="shared" ref="L21:L37" si="2">K21*16/100</f>
        <v>0</v>
      </c>
      <c r="M21" s="7"/>
      <c r="N21" s="7">
        <f t="shared" ref="N21:N37" si="3">M21*8/100</f>
        <v>0</v>
      </c>
      <c r="O21" s="7"/>
      <c r="P21" s="15">
        <f t="shared" ref="P21:P31" si="4">(J21*75)+(L21*75/100)+(N21*75/100)</f>
        <v>0</v>
      </c>
    </row>
    <row r="22" spans="1:16" x14ac:dyDescent="0.2">
      <c r="A22" s="14"/>
      <c r="B22" s="3"/>
      <c r="C22" s="3"/>
      <c r="D22" s="3"/>
      <c r="E22" s="3"/>
      <c r="F22" s="4"/>
      <c r="G22" s="7">
        <f t="shared" si="0"/>
        <v>0</v>
      </c>
      <c r="H22" s="7">
        <v>0</v>
      </c>
      <c r="I22" s="7"/>
      <c r="J22" s="7">
        <f t="shared" si="1"/>
        <v>0</v>
      </c>
      <c r="K22" s="7"/>
      <c r="L22" s="7">
        <f t="shared" si="2"/>
        <v>0</v>
      </c>
      <c r="M22" s="7"/>
      <c r="N22" s="7">
        <f t="shared" si="3"/>
        <v>0</v>
      </c>
      <c r="O22" s="7"/>
      <c r="P22" s="15">
        <f t="shared" si="4"/>
        <v>0</v>
      </c>
    </row>
    <row r="23" spans="1:16" x14ac:dyDescent="0.2">
      <c r="A23" s="14"/>
      <c r="B23" s="3"/>
      <c r="C23" s="3"/>
      <c r="D23" s="3"/>
      <c r="E23" s="3"/>
      <c r="F23" s="4"/>
      <c r="G23" s="7">
        <f t="shared" si="0"/>
        <v>0</v>
      </c>
      <c r="H23" s="7">
        <v>0</v>
      </c>
      <c r="I23" s="7"/>
      <c r="J23" s="7">
        <f t="shared" si="1"/>
        <v>0</v>
      </c>
      <c r="K23" s="7"/>
      <c r="L23" s="7">
        <f t="shared" si="2"/>
        <v>0</v>
      </c>
      <c r="M23" s="7"/>
      <c r="N23" s="7">
        <f t="shared" si="3"/>
        <v>0</v>
      </c>
      <c r="O23" s="7"/>
      <c r="P23" s="15">
        <f t="shared" si="4"/>
        <v>0</v>
      </c>
    </row>
    <row r="24" spans="1:16" x14ac:dyDescent="0.2">
      <c r="A24" s="14"/>
      <c r="B24" s="3"/>
      <c r="C24" s="3"/>
      <c r="D24" s="3"/>
      <c r="E24" s="3"/>
      <c r="F24" s="4"/>
      <c r="G24" s="7">
        <f t="shared" si="0"/>
        <v>0</v>
      </c>
      <c r="H24" s="7">
        <v>0</v>
      </c>
      <c r="I24" s="7"/>
      <c r="J24" s="7">
        <f t="shared" si="1"/>
        <v>0</v>
      </c>
      <c r="K24" s="7"/>
      <c r="L24" s="7">
        <f t="shared" si="2"/>
        <v>0</v>
      </c>
      <c r="M24" s="7"/>
      <c r="N24" s="7">
        <f t="shared" si="3"/>
        <v>0</v>
      </c>
      <c r="O24" s="7"/>
      <c r="P24" s="15">
        <f t="shared" si="4"/>
        <v>0</v>
      </c>
    </row>
    <row r="25" spans="1:16" x14ac:dyDescent="0.2">
      <c r="A25" s="14"/>
      <c r="B25" s="3"/>
      <c r="C25" s="3"/>
      <c r="D25" s="3"/>
      <c r="E25" s="3"/>
      <c r="F25" s="4"/>
      <c r="G25" s="7">
        <f t="shared" si="0"/>
        <v>0</v>
      </c>
      <c r="H25" s="7">
        <v>0</v>
      </c>
      <c r="I25" s="7"/>
      <c r="J25" s="7">
        <f t="shared" si="1"/>
        <v>0</v>
      </c>
      <c r="K25" s="7"/>
      <c r="L25" s="7">
        <f t="shared" si="2"/>
        <v>0</v>
      </c>
      <c r="M25" s="7"/>
      <c r="N25" s="7">
        <f t="shared" si="3"/>
        <v>0</v>
      </c>
      <c r="O25" s="7"/>
      <c r="P25" s="15">
        <f t="shared" si="4"/>
        <v>0</v>
      </c>
    </row>
    <row r="26" spans="1:16" x14ac:dyDescent="0.2">
      <c r="A26" s="14"/>
      <c r="B26" s="3"/>
      <c r="C26" s="3"/>
      <c r="D26" s="3"/>
      <c r="E26" s="3"/>
      <c r="F26" s="4"/>
      <c r="G26" s="7">
        <f t="shared" si="0"/>
        <v>0</v>
      </c>
      <c r="H26" s="7">
        <v>0</v>
      </c>
      <c r="I26" s="7"/>
      <c r="J26" s="7">
        <f t="shared" si="1"/>
        <v>0</v>
      </c>
      <c r="K26" s="7"/>
      <c r="L26" s="7">
        <f t="shared" si="2"/>
        <v>0</v>
      </c>
      <c r="M26" s="7"/>
      <c r="N26" s="7">
        <f t="shared" si="3"/>
        <v>0</v>
      </c>
      <c r="O26" s="7"/>
      <c r="P26" s="15">
        <f t="shared" si="4"/>
        <v>0</v>
      </c>
    </row>
    <row r="27" spans="1:16" x14ac:dyDescent="0.2">
      <c r="A27" s="14"/>
      <c r="B27" s="3"/>
      <c r="C27" s="3"/>
      <c r="D27" s="3"/>
      <c r="E27" s="3"/>
      <c r="F27" s="4"/>
      <c r="G27" s="7">
        <f t="shared" si="0"/>
        <v>0</v>
      </c>
      <c r="H27" s="7">
        <v>0</v>
      </c>
      <c r="I27" s="7"/>
      <c r="J27" s="7">
        <f t="shared" si="1"/>
        <v>0</v>
      </c>
      <c r="K27" s="7"/>
      <c r="L27" s="7">
        <f t="shared" si="2"/>
        <v>0</v>
      </c>
      <c r="M27" s="7"/>
      <c r="N27" s="7">
        <f t="shared" si="3"/>
        <v>0</v>
      </c>
      <c r="O27" s="7"/>
      <c r="P27" s="15">
        <f t="shared" si="4"/>
        <v>0</v>
      </c>
    </row>
    <row r="28" spans="1:16" x14ac:dyDescent="0.2">
      <c r="A28" s="14"/>
      <c r="B28" s="3"/>
      <c r="C28" s="3"/>
      <c r="D28" s="3"/>
      <c r="E28" s="3"/>
      <c r="F28" s="4"/>
      <c r="G28" s="7">
        <f t="shared" si="0"/>
        <v>0</v>
      </c>
      <c r="H28" s="7">
        <v>0</v>
      </c>
      <c r="I28" s="7"/>
      <c r="J28" s="7">
        <f t="shared" si="1"/>
        <v>0</v>
      </c>
      <c r="K28" s="7"/>
      <c r="L28" s="7">
        <f t="shared" si="2"/>
        <v>0</v>
      </c>
      <c r="M28" s="7"/>
      <c r="N28" s="7">
        <f t="shared" si="3"/>
        <v>0</v>
      </c>
      <c r="O28" s="7"/>
      <c r="P28" s="15">
        <f t="shared" si="4"/>
        <v>0</v>
      </c>
    </row>
    <row r="29" spans="1:16" x14ac:dyDescent="0.2">
      <c r="A29" s="14"/>
      <c r="B29" s="3"/>
      <c r="C29" s="3"/>
      <c r="D29" s="3"/>
      <c r="E29" s="3"/>
      <c r="F29" s="4"/>
      <c r="G29" s="7">
        <f t="shared" si="0"/>
        <v>0</v>
      </c>
      <c r="H29" s="7">
        <v>0</v>
      </c>
      <c r="I29" s="7"/>
      <c r="J29" s="7">
        <f t="shared" si="1"/>
        <v>0</v>
      </c>
      <c r="K29" s="7"/>
      <c r="L29" s="7">
        <f t="shared" si="2"/>
        <v>0</v>
      </c>
      <c r="M29" s="7"/>
      <c r="N29" s="7">
        <f t="shared" si="3"/>
        <v>0</v>
      </c>
      <c r="O29" s="7"/>
      <c r="P29" s="15">
        <f t="shared" si="4"/>
        <v>0</v>
      </c>
    </row>
    <row r="30" spans="1:16" x14ac:dyDescent="0.2">
      <c r="A30" s="14"/>
      <c r="B30" s="3"/>
      <c r="C30" s="3"/>
      <c r="D30" s="3"/>
      <c r="E30" s="3"/>
      <c r="F30" s="4"/>
      <c r="G30" s="7">
        <f t="shared" si="0"/>
        <v>0</v>
      </c>
      <c r="H30" s="7">
        <v>0</v>
      </c>
      <c r="I30" s="7"/>
      <c r="J30" s="7">
        <f t="shared" si="1"/>
        <v>0</v>
      </c>
      <c r="K30" s="7"/>
      <c r="L30" s="7">
        <f t="shared" si="2"/>
        <v>0</v>
      </c>
      <c r="M30" s="7"/>
      <c r="N30" s="7">
        <f t="shared" si="3"/>
        <v>0</v>
      </c>
      <c r="O30" s="7"/>
      <c r="P30" s="15">
        <f t="shared" si="4"/>
        <v>0</v>
      </c>
    </row>
    <row r="31" spans="1:16" x14ac:dyDescent="0.2">
      <c r="A31" s="14"/>
      <c r="B31" s="3"/>
      <c r="C31" s="3"/>
      <c r="D31" s="3"/>
      <c r="E31" s="3"/>
      <c r="F31" s="4"/>
      <c r="G31" s="7">
        <f t="shared" si="0"/>
        <v>0</v>
      </c>
      <c r="H31" s="7">
        <v>0</v>
      </c>
      <c r="I31" s="7"/>
      <c r="J31" s="7">
        <f t="shared" si="1"/>
        <v>0</v>
      </c>
      <c r="K31" s="7"/>
      <c r="L31" s="7">
        <f t="shared" si="2"/>
        <v>0</v>
      </c>
      <c r="M31" s="7"/>
      <c r="N31" s="7">
        <f t="shared" si="3"/>
        <v>0</v>
      </c>
      <c r="O31" s="7"/>
      <c r="P31" s="15">
        <f t="shared" si="4"/>
        <v>0</v>
      </c>
    </row>
    <row r="32" spans="1:16" x14ac:dyDescent="0.2">
      <c r="A32" s="14"/>
      <c r="B32" s="3"/>
      <c r="C32" s="3"/>
      <c r="D32" s="3"/>
      <c r="E32" s="3"/>
      <c r="F32" s="4"/>
      <c r="G32" s="7">
        <f>H32+I32+J32+K32+L32+M32+N32</f>
        <v>0</v>
      </c>
      <c r="H32" s="7">
        <v>0</v>
      </c>
      <c r="I32" s="7"/>
      <c r="J32" s="7">
        <f>I32*16/100</f>
        <v>0</v>
      </c>
      <c r="K32" s="7"/>
      <c r="L32" s="7">
        <f>K32*16/100</f>
        <v>0</v>
      </c>
      <c r="M32" s="7"/>
      <c r="N32" s="7">
        <f>M32*8/100</f>
        <v>0</v>
      </c>
      <c r="O32" s="7"/>
      <c r="P32" s="15">
        <f>(J32*75)+(L32*75/100)+(N32*75/100)</f>
        <v>0</v>
      </c>
    </row>
    <row r="33" spans="1:16" x14ac:dyDescent="0.2">
      <c r="A33" s="14"/>
      <c r="B33" s="3"/>
      <c r="C33" s="3"/>
      <c r="D33" s="3"/>
      <c r="E33" s="3"/>
      <c r="F33" s="4"/>
      <c r="G33" s="7">
        <f t="shared" ref="G33:G37" si="5">H33+I33+J33+K33+L33+M33+N33</f>
        <v>0</v>
      </c>
      <c r="H33" s="7">
        <v>0</v>
      </c>
      <c r="I33" s="7"/>
      <c r="J33" s="7">
        <f t="shared" si="1"/>
        <v>0</v>
      </c>
      <c r="K33" s="7"/>
      <c r="L33" s="7">
        <f t="shared" si="2"/>
        <v>0</v>
      </c>
      <c r="M33" s="7"/>
      <c r="N33" s="7">
        <f t="shared" si="3"/>
        <v>0</v>
      </c>
      <c r="O33" s="7"/>
      <c r="P33" s="15">
        <f t="shared" ref="P33:P37" si="6">(J33*75)+(L33*75/100)+(N33*75/100)</f>
        <v>0</v>
      </c>
    </row>
    <row r="34" spans="1:16" x14ac:dyDescent="0.2">
      <c r="A34" s="14"/>
      <c r="B34" s="3"/>
      <c r="C34" s="3"/>
      <c r="D34" s="3"/>
      <c r="E34" s="3"/>
      <c r="F34" s="4"/>
      <c r="G34" s="7">
        <f t="shared" si="5"/>
        <v>0</v>
      </c>
      <c r="H34" s="7">
        <v>0</v>
      </c>
      <c r="I34" s="7"/>
      <c r="J34" s="7">
        <f t="shared" si="1"/>
        <v>0</v>
      </c>
      <c r="K34" s="7"/>
      <c r="L34" s="7">
        <f t="shared" si="2"/>
        <v>0</v>
      </c>
      <c r="M34" s="7"/>
      <c r="N34" s="7">
        <f t="shared" si="3"/>
        <v>0</v>
      </c>
      <c r="O34" s="7"/>
      <c r="P34" s="15">
        <f t="shared" si="6"/>
        <v>0</v>
      </c>
    </row>
    <row r="35" spans="1:16" x14ac:dyDescent="0.2">
      <c r="A35" s="14"/>
      <c r="B35" s="3"/>
      <c r="C35" s="3"/>
      <c r="D35" s="3"/>
      <c r="E35" s="3"/>
      <c r="F35" s="4"/>
      <c r="G35" s="7">
        <f t="shared" si="5"/>
        <v>0</v>
      </c>
      <c r="H35" s="7">
        <v>0</v>
      </c>
      <c r="I35" s="7"/>
      <c r="J35" s="7">
        <f t="shared" si="1"/>
        <v>0</v>
      </c>
      <c r="K35" s="7"/>
      <c r="L35" s="7">
        <f t="shared" si="2"/>
        <v>0</v>
      </c>
      <c r="M35" s="7"/>
      <c r="N35" s="7">
        <f t="shared" si="3"/>
        <v>0</v>
      </c>
      <c r="O35" s="7"/>
      <c r="P35" s="15">
        <f t="shared" si="6"/>
        <v>0</v>
      </c>
    </row>
    <row r="36" spans="1:16" x14ac:dyDescent="0.2">
      <c r="A36" s="14"/>
      <c r="B36" s="3"/>
      <c r="C36" s="3"/>
      <c r="D36" s="3"/>
      <c r="E36" s="3"/>
      <c r="F36" s="4"/>
      <c r="G36" s="7">
        <f t="shared" si="5"/>
        <v>0</v>
      </c>
      <c r="H36" s="7">
        <v>0</v>
      </c>
      <c r="I36" s="7"/>
      <c r="J36" s="7">
        <f t="shared" si="1"/>
        <v>0</v>
      </c>
      <c r="K36" s="7"/>
      <c r="L36" s="7">
        <f t="shared" si="2"/>
        <v>0</v>
      </c>
      <c r="M36" s="7"/>
      <c r="N36" s="7">
        <f t="shared" si="3"/>
        <v>0</v>
      </c>
      <c r="O36" s="7"/>
      <c r="P36" s="15">
        <f t="shared" si="6"/>
        <v>0</v>
      </c>
    </row>
    <row r="37" spans="1:16" ht="12" thickBot="1" x14ac:dyDescent="0.25">
      <c r="A37" s="16"/>
      <c r="B37" s="17"/>
      <c r="C37" s="17"/>
      <c r="D37" s="17"/>
      <c r="E37" s="17"/>
      <c r="F37" s="18"/>
      <c r="G37" s="19">
        <f t="shared" si="5"/>
        <v>0</v>
      </c>
      <c r="H37" s="19">
        <v>0</v>
      </c>
      <c r="I37" s="19"/>
      <c r="J37" s="19">
        <f t="shared" si="1"/>
        <v>0</v>
      </c>
      <c r="K37" s="19"/>
      <c r="L37" s="19">
        <f t="shared" si="2"/>
        <v>0</v>
      </c>
      <c r="M37" s="19"/>
      <c r="N37" s="19">
        <f t="shared" si="3"/>
        <v>0</v>
      </c>
      <c r="O37" s="19"/>
      <c r="P37" s="20">
        <f t="shared" si="6"/>
        <v>0</v>
      </c>
    </row>
    <row r="38" spans="1:16" ht="12" thickBot="1" x14ac:dyDescent="0.25">
      <c r="A38" s="48" t="s">
        <v>42</v>
      </c>
      <c r="B38" s="49"/>
      <c r="C38" s="49"/>
      <c r="D38" s="49"/>
      <c r="E38" s="49"/>
      <c r="F38" s="50"/>
      <c r="G38" s="21">
        <f>SUM(G20:G37)</f>
        <v>19280</v>
      </c>
      <c r="H38" s="22">
        <f t="shared" ref="H38:P38" si="7">SUM(H20:H37)</f>
        <v>10000</v>
      </c>
      <c r="I38" s="22">
        <f t="shared" si="7"/>
        <v>8000</v>
      </c>
      <c r="J38" s="22">
        <f t="shared" si="7"/>
        <v>1280</v>
      </c>
      <c r="K38" s="22">
        <f t="shared" si="7"/>
        <v>0</v>
      </c>
      <c r="L38" s="22">
        <f t="shared" si="7"/>
        <v>0</v>
      </c>
      <c r="M38" s="22">
        <f t="shared" si="7"/>
        <v>0</v>
      </c>
      <c r="N38" s="22">
        <f t="shared" si="7"/>
        <v>0</v>
      </c>
      <c r="O38" s="22"/>
      <c r="P38" s="23">
        <f t="shared" si="7"/>
        <v>96000</v>
      </c>
    </row>
    <row r="42" spans="1:16" x14ac:dyDescent="0.2">
      <c r="K42" s="24" t="s">
        <v>43</v>
      </c>
      <c r="L42" s="25"/>
      <c r="M42" s="25"/>
      <c r="N42" s="25"/>
    </row>
    <row r="43" spans="1:16" x14ac:dyDescent="0.2">
      <c r="K43" s="27" t="s">
        <v>44</v>
      </c>
      <c r="L43" s="27"/>
      <c r="M43" s="28"/>
      <c r="N43" s="28"/>
      <c r="O43" s="30" t="s">
        <v>9</v>
      </c>
      <c r="P43" s="30" t="s">
        <v>44</v>
      </c>
    </row>
    <row r="44" spans="1:16" x14ac:dyDescent="0.2">
      <c r="K44" s="51" t="s">
        <v>10</v>
      </c>
      <c r="L44" s="51" t="s">
        <v>11</v>
      </c>
      <c r="M44" s="51" t="s">
        <v>11</v>
      </c>
      <c r="N44" s="51"/>
      <c r="O44" s="6">
        <v>0</v>
      </c>
      <c r="P44" s="6">
        <v>0</v>
      </c>
    </row>
    <row r="45" spans="1:16" x14ac:dyDescent="0.2">
      <c r="K45" s="51" t="s">
        <v>12</v>
      </c>
      <c r="L45" s="51" t="s">
        <v>11</v>
      </c>
      <c r="M45" s="51" t="s">
        <v>11</v>
      </c>
      <c r="N45" s="51"/>
      <c r="O45" s="6">
        <v>0</v>
      </c>
      <c r="P45" s="6">
        <v>0</v>
      </c>
    </row>
    <row r="46" spans="1:16" x14ac:dyDescent="0.2">
      <c r="K46" s="51" t="s">
        <v>13</v>
      </c>
      <c r="L46" s="51"/>
      <c r="M46" s="51" t="s">
        <v>11</v>
      </c>
      <c r="N46" s="51"/>
      <c r="O46" s="6">
        <v>0</v>
      </c>
      <c r="P46" s="6">
        <v>0</v>
      </c>
    </row>
    <row r="47" spans="1:16" x14ac:dyDescent="0.2">
      <c r="K47" s="53" t="s">
        <v>14</v>
      </c>
      <c r="L47" s="53"/>
      <c r="M47" s="53"/>
      <c r="N47" s="53"/>
      <c r="O47" s="6">
        <v>0</v>
      </c>
      <c r="P47" s="6">
        <v>0</v>
      </c>
    </row>
    <row r="48" spans="1:16" x14ac:dyDescent="0.2">
      <c r="K48" s="52" t="s">
        <v>15</v>
      </c>
      <c r="L48" s="52"/>
      <c r="M48" s="52"/>
      <c r="N48" s="52"/>
      <c r="O48" s="29">
        <f>SUM(O44:O47)</f>
        <v>0</v>
      </c>
      <c r="P48" s="29">
        <f>SUM(P44:P47)</f>
        <v>0</v>
      </c>
    </row>
    <row r="50" spans="11:16" x14ac:dyDescent="0.2">
      <c r="K50" s="24" t="s">
        <v>45</v>
      </c>
    </row>
    <row r="51" spans="11:16" x14ac:dyDescent="0.2">
      <c r="K51" s="27" t="s">
        <v>46</v>
      </c>
      <c r="L51" s="27"/>
      <c r="M51" s="28"/>
      <c r="N51" s="28"/>
      <c r="O51" s="30" t="s">
        <v>9</v>
      </c>
      <c r="P51" s="30" t="s">
        <v>47</v>
      </c>
    </row>
    <row r="52" spans="11:16" x14ac:dyDescent="0.2">
      <c r="K52" s="51" t="s">
        <v>16</v>
      </c>
      <c r="L52" s="51" t="s">
        <v>11</v>
      </c>
      <c r="M52" s="51"/>
      <c r="N52" s="51"/>
      <c r="O52" s="6">
        <f>H38</f>
        <v>10000</v>
      </c>
      <c r="P52" s="6">
        <v>0</v>
      </c>
    </row>
    <row r="53" spans="11:16" x14ac:dyDescent="0.2">
      <c r="K53" s="51" t="s">
        <v>17</v>
      </c>
      <c r="L53" s="51"/>
      <c r="M53" s="51"/>
      <c r="N53" s="51"/>
      <c r="O53" s="6">
        <v>0</v>
      </c>
      <c r="P53" s="6">
        <v>0</v>
      </c>
    </row>
    <row r="54" spans="11:16" x14ac:dyDescent="0.2">
      <c r="K54" s="51" t="s">
        <v>18</v>
      </c>
      <c r="L54" s="51" t="s">
        <v>11</v>
      </c>
      <c r="M54" s="51" t="s">
        <v>11</v>
      </c>
      <c r="N54" s="51"/>
      <c r="O54" s="6">
        <f>I38</f>
        <v>8000</v>
      </c>
      <c r="P54" s="6">
        <f>O54*16/100</f>
        <v>1280</v>
      </c>
    </row>
    <row r="55" spans="11:16" x14ac:dyDescent="0.2">
      <c r="K55" s="51" t="s">
        <v>19</v>
      </c>
      <c r="L55" s="51"/>
      <c r="M55" s="51"/>
      <c r="N55" s="51"/>
      <c r="O55" s="6">
        <v>0</v>
      </c>
      <c r="P55" s="6">
        <v>0</v>
      </c>
    </row>
    <row r="56" spans="11:16" x14ac:dyDescent="0.2">
      <c r="K56" s="52" t="s">
        <v>20</v>
      </c>
      <c r="L56" s="52" t="s">
        <v>11</v>
      </c>
      <c r="M56" s="52" t="s">
        <v>11</v>
      </c>
      <c r="N56" s="52"/>
      <c r="O56" s="40">
        <f>SUM(O52:O55)</f>
        <v>18000</v>
      </c>
      <c r="P56" s="40">
        <f>SUM(P52:P55)</f>
        <v>1280</v>
      </c>
    </row>
    <row r="57" spans="11:16" x14ac:dyDescent="0.2">
      <c r="K57" s="51" t="s">
        <v>21</v>
      </c>
      <c r="L57" s="51"/>
      <c r="M57" s="51"/>
      <c r="N57" s="51"/>
      <c r="O57" s="6">
        <v>0</v>
      </c>
      <c r="P57" s="6">
        <v>0</v>
      </c>
    </row>
    <row r="58" spans="11:16" x14ac:dyDescent="0.2">
      <c r="K58" s="52" t="s">
        <v>22</v>
      </c>
      <c r="L58" s="52"/>
      <c r="M58" s="52" t="s">
        <v>11</v>
      </c>
      <c r="N58" s="52"/>
      <c r="O58" s="41">
        <f>O56-O57</f>
        <v>18000</v>
      </c>
      <c r="P58" s="41">
        <f>P56-P57</f>
        <v>1280</v>
      </c>
    </row>
    <row r="60" spans="11:16" ht="15" customHeight="1" x14ac:dyDescent="0.2">
      <c r="K60" s="52" t="s">
        <v>48</v>
      </c>
      <c r="L60" s="52"/>
      <c r="M60" s="52"/>
      <c r="N60" s="52"/>
      <c r="O60" s="52"/>
      <c r="P60" s="52"/>
    </row>
    <row r="61" spans="11:16" ht="15" customHeight="1" x14ac:dyDescent="0.2">
      <c r="K61" s="52" t="s">
        <v>23</v>
      </c>
      <c r="L61" s="52"/>
      <c r="M61" s="52"/>
      <c r="N61" s="52"/>
      <c r="O61" s="52"/>
      <c r="P61" s="52"/>
    </row>
    <row r="62" spans="11:16" x14ac:dyDescent="0.2">
      <c r="K62" s="51" t="s">
        <v>24</v>
      </c>
      <c r="L62" s="51" t="s">
        <v>25</v>
      </c>
      <c r="M62" s="51"/>
      <c r="N62" s="51"/>
      <c r="O62" s="26">
        <v>0</v>
      </c>
      <c r="P62" s="1">
        <v>0</v>
      </c>
    </row>
    <row r="63" spans="11:16" x14ac:dyDescent="0.2">
      <c r="K63" s="51" t="s">
        <v>26</v>
      </c>
      <c r="L63" s="51" t="s">
        <v>25</v>
      </c>
      <c r="M63" s="51"/>
      <c r="N63" s="51"/>
      <c r="O63" s="26">
        <v>0</v>
      </c>
      <c r="P63" s="1">
        <v>0</v>
      </c>
    </row>
    <row r="64" spans="11:16" x14ac:dyDescent="0.2">
      <c r="K64" s="51" t="s">
        <v>27</v>
      </c>
      <c r="L64" s="51" t="s">
        <v>25</v>
      </c>
      <c r="M64" s="51"/>
      <c r="N64" s="51"/>
      <c r="O64" s="26">
        <v>0</v>
      </c>
      <c r="P64" s="1">
        <v>0</v>
      </c>
    </row>
    <row r="65" spans="11:16" x14ac:dyDescent="0.2">
      <c r="K65" s="51" t="s">
        <v>28</v>
      </c>
      <c r="L65" s="51"/>
      <c r="M65" s="51" t="s">
        <v>11</v>
      </c>
      <c r="N65" s="51"/>
      <c r="O65" s="26">
        <v>0</v>
      </c>
      <c r="P65" s="1">
        <v>0</v>
      </c>
    </row>
    <row r="66" spans="11:16" x14ac:dyDescent="0.2">
      <c r="K66" s="51" t="s">
        <v>29</v>
      </c>
      <c r="L66" s="51"/>
      <c r="M66" s="51" t="s">
        <v>25</v>
      </c>
      <c r="N66" s="51"/>
      <c r="O66" s="26">
        <v>0</v>
      </c>
      <c r="P66" s="1">
        <v>0</v>
      </c>
    </row>
    <row r="67" spans="11:16" x14ac:dyDescent="0.2">
      <c r="K67" s="51" t="s">
        <v>30</v>
      </c>
      <c r="L67" s="51" t="s">
        <v>25</v>
      </c>
      <c r="M67" s="51"/>
      <c r="N67" s="51"/>
      <c r="O67" s="26">
        <v>0</v>
      </c>
      <c r="P67" s="1">
        <v>0</v>
      </c>
    </row>
    <row r="68" spans="11:16" x14ac:dyDescent="0.2">
      <c r="K68" s="51" t="s">
        <v>31</v>
      </c>
      <c r="L68" s="51"/>
      <c r="M68" s="51"/>
      <c r="N68" s="51"/>
      <c r="O68" s="26">
        <v>0</v>
      </c>
      <c r="P68" s="1">
        <v>0</v>
      </c>
    </row>
    <row r="69" spans="11:16" x14ac:dyDescent="0.2">
      <c r="K69" s="54" t="s">
        <v>32</v>
      </c>
      <c r="L69" s="54"/>
      <c r="M69" s="54" t="s">
        <v>25</v>
      </c>
      <c r="N69" s="54"/>
      <c r="O69" s="27">
        <f>SUM(O62:O68)</f>
        <v>0</v>
      </c>
      <c r="P69" s="27">
        <f>SUM(P62:P68)</f>
        <v>0</v>
      </c>
    </row>
  </sheetData>
  <mergeCells count="32">
    <mergeCell ref="B4:G4"/>
    <mergeCell ref="B3:G3"/>
    <mergeCell ref="B2:G2"/>
    <mergeCell ref="B6:G6"/>
    <mergeCell ref="B7:G7"/>
    <mergeCell ref="K66:N66"/>
    <mergeCell ref="K67:N67"/>
    <mergeCell ref="K68:N68"/>
    <mergeCell ref="K69:N69"/>
    <mergeCell ref="K60:P60"/>
    <mergeCell ref="K61:P61"/>
    <mergeCell ref="K65:N65"/>
    <mergeCell ref="K56:N56"/>
    <mergeCell ref="K57:N57"/>
    <mergeCell ref="K62:N62"/>
    <mergeCell ref="K63:N63"/>
    <mergeCell ref="K64:N64"/>
    <mergeCell ref="K58:N58"/>
    <mergeCell ref="K55:N55"/>
    <mergeCell ref="I18:J18"/>
    <mergeCell ref="K18:L18"/>
    <mergeCell ref="M18:N18"/>
    <mergeCell ref="K48:N48"/>
    <mergeCell ref="K47:N47"/>
    <mergeCell ref="K45:N45"/>
    <mergeCell ref="K44:N44"/>
    <mergeCell ref="K46:N46"/>
    <mergeCell ref="O18:P18"/>
    <mergeCell ref="A38:F38"/>
    <mergeCell ref="K52:N52"/>
    <mergeCell ref="K53:N53"/>
    <mergeCell ref="K54:N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CCA-9697-4F3F-BC68-BDA0AF75FBA3}">
  <dimension ref="A1:Q23"/>
  <sheetViews>
    <sheetView tabSelected="1" zoomScale="80" zoomScaleNormal="80" workbookViewId="0">
      <selection activeCell="I1" sqref="I1"/>
    </sheetView>
  </sheetViews>
  <sheetFormatPr baseColWidth="10" defaultRowHeight="11.25" x14ac:dyDescent="0.2"/>
  <cols>
    <col min="1" max="1" width="14.28515625" style="1" bestFit="1" customWidth="1"/>
    <col min="2" max="2" width="13.7109375" style="1" customWidth="1"/>
    <col min="3" max="3" width="14" style="1" customWidth="1"/>
    <col min="4" max="4" width="11.42578125" style="1"/>
    <col min="5" max="5" width="27.7109375" style="1" bestFit="1" customWidth="1"/>
    <col min="6" max="6" width="11.42578125" style="2"/>
    <col min="7" max="15" width="11.42578125" style="1"/>
    <col min="16" max="16" width="13.7109375" style="1" bestFit="1" customWidth="1"/>
    <col min="17" max="17" width="15.28515625" style="1" customWidth="1"/>
    <col min="18" max="16384" width="11.42578125" style="1"/>
  </cols>
  <sheetData>
    <row r="1" spans="1:17" s="5" customFormat="1" ht="39.75" customHeight="1" x14ac:dyDescent="0.2">
      <c r="A1" s="8" t="s">
        <v>35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56</v>
      </c>
      <c r="K1" s="8" t="s">
        <v>39</v>
      </c>
      <c r="L1" s="1"/>
      <c r="M1" s="1"/>
      <c r="N1" s="1"/>
      <c r="O1" s="1"/>
      <c r="P1" s="1"/>
      <c r="Q1" s="1"/>
    </row>
    <row r="2" spans="1:17" x14ac:dyDescent="0.2">
      <c r="A2" s="42">
        <v>46249</v>
      </c>
      <c r="B2" s="43">
        <v>1</v>
      </c>
      <c r="C2" s="44">
        <v>5</v>
      </c>
      <c r="D2" s="44">
        <v>5</v>
      </c>
      <c r="E2" s="3" t="s">
        <v>57</v>
      </c>
      <c r="F2" s="4" t="s">
        <v>58</v>
      </c>
      <c r="G2" s="7">
        <f>H2+I2+K2+L2+M2+N2+O2</f>
        <v>19280</v>
      </c>
      <c r="H2" s="7">
        <v>10000</v>
      </c>
      <c r="I2" s="7">
        <v>8000</v>
      </c>
      <c r="J2" s="45">
        <v>16</v>
      </c>
      <c r="K2" s="7">
        <f>I2*16/100</f>
        <v>1280</v>
      </c>
    </row>
    <row r="3" spans="1:17" x14ac:dyDescent="0.2">
      <c r="A3" s="42">
        <v>46250</v>
      </c>
      <c r="B3" s="43">
        <v>1</v>
      </c>
      <c r="C3" s="44">
        <v>6</v>
      </c>
      <c r="D3" s="44">
        <v>6</v>
      </c>
      <c r="E3" s="3" t="s">
        <v>57</v>
      </c>
      <c r="F3" s="4" t="s">
        <v>58</v>
      </c>
      <c r="G3" s="7">
        <f t="shared" ref="G3:G4" si="0">H3+I3+K3+L3+M3+N3+O3</f>
        <v>19280</v>
      </c>
      <c r="H3" s="7">
        <v>10000</v>
      </c>
      <c r="I3" s="7">
        <v>8000</v>
      </c>
      <c r="J3" s="45">
        <v>16</v>
      </c>
      <c r="K3" s="7">
        <f t="shared" ref="K3:K4" si="1">I3*16/100</f>
        <v>1280</v>
      </c>
    </row>
    <row r="4" spans="1:17" x14ac:dyDescent="0.2">
      <c r="A4" s="42">
        <v>46251</v>
      </c>
      <c r="B4" s="43">
        <v>1</v>
      </c>
      <c r="C4" s="44">
        <v>7</v>
      </c>
      <c r="D4" s="44">
        <v>7</v>
      </c>
      <c r="E4" s="3" t="s">
        <v>57</v>
      </c>
      <c r="F4" s="4" t="s">
        <v>58</v>
      </c>
      <c r="G4" s="7">
        <f t="shared" si="0"/>
        <v>19280</v>
      </c>
      <c r="H4" s="7">
        <v>10000</v>
      </c>
      <c r="I4" s="7">
        <v>8000</v>
      </c>
      <c r="J4" s="45">
        <v>16</v>
      </c>
      <c r="K4" s="7">
        <f t="shared" si="1"/>
        <v>1280</v>
      </c>
    </row>
    <row r="22" ht="15" customHeight="1" x14ac:dyDescent="0.2"/>
    <row r="23" ht="1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de Compras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2026-04-27T12:39:49Z</dcterms:created>
  <dcterms:modified xsi:type="dcterms:W3CDTF">2026-05-02T02:33:27Z</dcterms:modified>
</cp:coreProperties>
</file>