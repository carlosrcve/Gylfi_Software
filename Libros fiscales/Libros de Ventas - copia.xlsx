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los Rodriguez\Desktop\Software_KD\"/>
    </mc:Choice>
  </mc:AlternateContent>
  <xr:revisionPtr revIDLastSave="0" documentId="13_ncr:1_{2E3844A1-A3F2-49D6-BF1E-77893BC7E3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bro de Ventas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4" i="2" l="1"/>
  <c r="M4" i="2" s="1"/>
  <c r="Q3" i="2"/>
  <c r="M3" i="2"/>
  <c r="A27" i="1" l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12" i="1"/>
  <c r="B27" i="1"/>
  <c r="C27" i="1"/>
  <c r="D27" i="1"/>
  <c r="E27" i="1"/>
  <c r="F27" i="1"/>
  <c r="G27" i="1"/>
  <c r="H27" i="1"/>
  <c r="I27" i="1"/>
  <c r="J27" i="1"/>
  <c r="K27" i="1"/>
  <c r="L27" i="1"/>
  <c r="M27" i="1"/>
  <c r="P27" i="1"/>
  <c r="Q27" i="1"/>
  <c r="F12" i="1"/>
  <c r="G12" i="1"/>
  <c r="H12" i="1"/>
  <c r="I12" i="1"/>
  <c r="J12" i="1"/>
  <c r="K12" i="1"/>
  <c r="L12" i="1"/>
  <c r="O12" i="1"/>
  <c r="P12" i="1"/>
  <c r="F13" i="1"/>
  <c r="G13" i="1"/>
  <c r="H13" i="1"/>
  <c r="I13" i="1"/>
  <c r="J13" i="1"/>
  <c r="K13" i="1"/>
  <c r="L13" i="1"/>
  <c r="P13" i="1"/>
  <c r="Q13" i="1"/>
  <c r="F14" i="1"/>
  <c r="G14" i="1"/>
  <c r="H14" i="1"/>
  <c r="I14" i="1"/>
  <c r="J14" i="1"/>
  <c r="K14" i="1"/>
  <c r="L14" i="1"/>
  <c r="M14" i="1"/>
  <c r="P14" i="1"/>
  <c r="Q14" i="1"/>
  <c r="F15" i="1"/>
  <c r="G15" i="1"/>
  <c r="H15" i="1"/>
  <c r="I15" i="1"/>
  <c r="J15" i="1"/>
  <c r="K15" i="1"/>
  <c r="L15" i="1"/>
  <c r="P15" i="1"/>
  <c r="Q15" i="1"/>
  <c r="F16" i="1"/>
  <c r="G16" i="1"/>
  <c r="H16" i="1"/>
  <c r="I16" i="1"/>
  <c r="J16" i="1"/>
  <c r="K16" i="1"/>
  <c r="L16" i="1"/>
  <c r="M16" i="1"/>
  <c r="P16" i="1"/>
  <c r="Q16" i="1"/>
  <c r="F17" i="1"/>
  <c r="G17" i="1"/>
  <c r="H17" i="1"/>
  <c r="I17" i="1"/>
  <c r="J17" i="1"/>
  <c r="K17" i="1"/>
  <c r="L17" i="1"/>
  <c r="P17" i="1"/>
  <c r="Q17" i="1"/>
  <c r="F18" i="1"/>
  <c r="G18" i="1"/>
  <c r="H18" i="1"/>
  <c r="I18" i="1"/>
  <c r="J18" i="1"/>
  <c r="K18" i="1"/>
  <c r="L18" i="1"/>
  <c r="M18" i="1"/>
  <c r="P18" i="1"/>
  <c r="Q18" i="1"/>
  <c r="F19" i="1"/>
  <c r="G19" i="1"/>
  <c r="H19" i="1"/>
  <c r="I19" i="1"/>
  <c r="J19" i="1"/>
  <c r="K19" i="1"/>
  <c r="L19" i="1"/>
  <c r="P19" i="1"/>
  <c r="Q19" i="1"/>
  <c r="F20" i="1"/>
  <c r="G20" i="1"/>
  <c r="H20" i="1"/>
  <c r="I20" i="1"/>
  <c r="J20" i="1"/>
  <c r="K20" i="1"/>
  <c r="L20" i="1"/>
  <c r="P20" i="1"/>
  <c r="Q20" i="1"/>
  <c r="F21" i="1"/>
  <c r="G21" i="1"/>
  <c r="H21" i="1"/>
  <c r="I21" i="1"/>
  <c r="J21" i="1"/>
  <c r="K21" i="1"/>
  <c r="L21" i="1"/>
  <c r="P21" i="1"/>
  <c r="Q21" i="1"/>
  <c r="F22" i="1"/>
  <c r="G22" i="1"/>
  <c r="H22" i="1"/>
  <c r="I22" i="1"/>
  <c r="J22" i="1"/>
  <c r="K22" i="1"/>
  <c r="L22" i="1"/>
  <c r="M22" i="1"/>
  <c r="P22" i="1"/>
  <c r="Q22" i="1"/>
  <c r="F23" i="1"/>
  <c r="G23" i="1"/>
  <c r="H23" i="1"/>
  <c r="I23" i="1"/>
  <c r="J23" i="1"/>
  <c r="K23" i="1"/>
  <c r="L23" i="1"/>
  <c r="P23" i="1"/>
  <c r="Q23" i="1"/>
  <c r="F24" i="1"/>
  <c r="G24" i="1"/>
  <c r="H24" i="1"/>
  <c r="I24" i="1"/>
  <c r="J24" i="1"/>
  <c r="K24" i="1"/>
  <c r="L24" i="1"/>
  <c r="M24" i="1"/>
  <c r="P24" i="1"/>
  <c r="Q24" i="1"/>
  <c r="F25" i="1"/>
  <c r="G25" i="1"/>
  <c r="H25" i="1"/>
  <c r="I25" i="1"/>
  <c r="J25" i="1"/>
  <c r="K25" i="1"/>
  <c r="L25" i="1"/>
  <c r="P25" i="1"/>
  <c r="Q25" i="1"/>
  <c r="F26" i="1"/>
  <c r="G26" i="1"/>
  <c r="H26" i="1"/>
  <c r="I26" i="1"/>
  <c r="J26" i="1"/>
  <c r="K26" i="1"/>
  <c r="L26" i="1"/>
  <c r="M26" i="1"/>
  <c r="P26" i="1"/>
  <c r="Q26" i="1"/>
  <c r="D12" i="1"/>
  <c r="B12" i="1"/>
  <c r="C12" i="1"/>
  <c r="E12" i="1"/>
  <c r="B13" i="1"/>
  <c r="C13" i="1"/>
  <c r="D13" i="1"/>
  <c r="E13" i="1"/>
  <c r="B14" i="1"/>
  <c r="C14" i="1"/>
  <c r="D14" i="1"/>
  <c r="E14" i="1"/>
  <c r="B15" i="1"/>
  <c r="C15" i="1"/>
  <c r="D15" i="1"/>
  <c r="E15" i="1"/>
  <c r="B16" i="1"/>
  <c r="C16" i="1"/>
  <c r="D16" i="1"/>
  <c r="E16" i="1"/>
  <c r="B17" i="1"/>
  <c r="C17" i="1"/>
  <c r="D17" i="1"/>
  <c r="E17" i="1"/>
  <c r="B18" i="1"/>
  <c r="C18" i="1"/>
  <c r="D18" i="1"/>
  <c r="E18" i="1"/>
  <c r="B19" i="1"/>
  <c r="C19" i="1"/>
  <c r="D19" i="1"/>
  <c r="E19" i="1"/>
  <c r="B20" i="1"/>
  <c r="C20" i="1"/>
  <c r="D20" i="1"/>
  <c r="E20" i="1"/>
  <c r="B21" i="1"/>
  <c r="C21" i="1"/>
  <c r="D21" i="1"/>
  <c r="E21" i="1"/>
  <c r="B22" i="1"/>
  <c r="C22" i="1"/>
  <c r="D22" i="1"/>
  <c r="E22" i="1"/>
  <c r="B23" i="1"/>
  <c r="C23" i="1"/>
  <c r="D23" i="1"/>
  <c r="E23" i="1"/>
  <c r="B24" i="1"/>
  <c r="C24" i="1"/>
  <c r="D24" i="1"/>
  <c r="E24" i="1"/>
  <c r="B25" i="1"/>
  <c r="C25" i="1"/>
  <c r="D25" i="1"/>
  <c r="E25" i="1"/>
  <c r="B26" i="1"/>
  <c r="C26" i="1"/>
  <c r="D26" i="1"/>
  <c r="E26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12" i="1"/>
  <c r="M13" i="1"/>
  <c r="M15" i="1"/>
  <c r="M17" i="1"/>
  <c r="M19" i="1"/>
  <c r="M20" i="1"/>
  <c r="M21" i="1"/>
  <c r="M23" i="1"/>
  <c r="M25" i="1"/>
  <c r="Q2" i="2"/>
  <c r="M2" i="2" s="1"/>
  <c r="M12" i="1" s="1"/>
  <c r="Q12" i="1" l="1"/>
  <c r="Q28" i="1"/>
  <c r="Q38" i="1" s="1"/>
  <c r="M28" i="1"/>
  <c r="O28" i="1"/>
  <c r="Q34" i="1" s="1"/>
  <c r="N28" i="1"/>
  <c r="Q35" i="1" s="1"/>
  <c r="Q37" i="1" l="1"/>
</calcChain>
</file>

<file path=xl/sharedStrings.xml><?xml version="1.0" encoding="utf-8"?>
<sst xmlns="http://schemas.openxmlformats.org/spreadsheetml/2006/main" count="82" uniqueCount="58">
  <si>
    <t>Ventas Internas Contribuyentes / No contribuyentes</t>
  </si>
  <si>
    <t>Fecha de Factura</t>
  </si>
  <si>
    <t>Nombre y Apellido o Razón Social</t>
  </si>
  <si>
    <t>R.I.F.</t>
  </si>
  <si>
    <t>Número de Factura</t>
  </si>
  <si>
    <t>Num. Control de Factura</t>
  </si>
  <si>
    <t>Nro de Máquina</t>
  </si>
  <si>
    <t>Reporte Z</t>
  </si>
  <si>
    <t>Nro Serie Factura</t>
  </si>
  <si>
    <t>Nro. Última Factura</t>
  </si>
  <si>
    <t>Número Nota Débito</t>
  </si>
  <si>
    <t>Número de Nota Crédito</t>
  </si>
  <si>
    <t>Número de Factura Afectada</t>
  </si>
  <si>
    <t>Total Ventas Incluyendo el IVA</t>
  </si>
  <si>
    <t>Ventas Exentas</t>
  </si>
  <si>
    <t>Base Imponible</t>
  </si>
  <si>
    <t>% Alícuota</t>
  </si>
  <si>
    <t>Débito Fiscal</t>
  </si>
  <si>
    <t>TOTALES:</t>
  </si>
  <si>
    <t xml:space="preserve">Razon Social: </t>
  </si>
  <si>
    <t>KING DRIVER, C.A.</t>
  </si>
  <si>
    <t>R.I.F:</t>
  </si>
  <si>
    <t>J507757188</t>
  </si>
  <si>
    <t>Direccion</t>
  </si>
  <si>
    <t>AV. JOSE ANTONIO PAEZ EDIF RESIDENCIAS 2000 RESIDENCIAS CECILIA PISO PH APT 43 URB EL PARAISO CARACAS DISTRITO CAPITAL ZONA POSTAL 1020.</t>
  </si>
  <si>
    <t>Periodo:</t>
  </si>
  <si>
    <t>Fecha</t>
  </si>
  <si>
    <t>Libro de Ventas</t>
  </si>
  <si>
    <t>Resumen Débitos Fiscales</t>
  </si>
  <si>
    <t>-</t>
  </si>
  <si>
    <t>DEBITOS FISCALES</t>
  </si>
  <si>
    <t>BASE IMPONIBLE</t>
  </si>
  <si>
    <t>Ventas internas no gravadas</t>
  </si>
  <si>
    <t>Ventas internas gravadas por alícuota general</t>
  </si>
  <si>
    <t>Ajustes a los débitos fiscales de períodos anteriores</t>
  </si>
  <si>
    <t>Total ventas y débitos fiscal para efectos de determinación</t>
  </si>
  <si>
    <t>Total Débitos Fiscales.</t>
  </si>
  <si>
    <t>Resumen Créditos Fiscales</t>
  </si>
  <si>
    <t>CREDITOS FISCALES</t>
  </si>
  <si>
    <t>Compras no gravadas y/o sin derecho a crédito fiscal</t>
  </si>
  <si>
    <t>Importación gravadas por alícuota general</t>
  </si>
  <si>
    <t>Compras internas gravadas por alícuota general</t>
  </si>
  <si>
    <t>Compras internas gravadas por alícuota reducida</t>
  </si>
  <si>
    <t>Total compras y créditos fiscales del periodo</t>
  </si>
  <si>
    <t>Ajustes a los créditos fiscales de períodos anteriores</t>
  </si>
  <si>
    <t>Total Créditos Fiscales</t>
  </si>
  <si>
    <t>AUTOLIQUIDACION</t>
  </si>
  <si>
    <t>TOTAL CUOTA TRIBUTARIA DEL PERIODO</t>
  </si>
  <si>
    <t>Anticipo Iva semana anterior</t>
  </si>
  <si>
    <t>Excedentes créditos fiscales para el mes siguiente</t>
  </si>
  <si>
    <t>Retenciones Acumuladas por descontar</t>
  </si>
  <si>
    <t>Retenciones del Periodo</t>
  </si>
  <si>
    <t>Total Retenciones</t>
  </si>
  <si>
    <t>Retenciones soportadas y descontadas en esta declaración</t>
  </si>
  <si>
    <t>Saldo de Retenciones de IVA no aplicado</t>
  </si>
  <si>
    <t>TOTAL A PAGAR</t>
  </si>
  <si>
    <t>V149899452</t>
  </si>
  <si>
    <t>CARLOS JOSE RODRIGUEZ COLMENARES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</si>
</sst>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5" formatCode="0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3" borderId="2" xfId="0" applyFont="1" applyFill="1" applyBorder="1"/>
    <xf numFmtId="0" fontId="2" fillId="3" borderId="5" xfId="0" applyFont="1" applyFill="1" applyBorder="1"/>
    <xf numFmtId="0" fontId="2" fillId="3" borderId="5" xfId="0" applyFont="1" applyFill="1" applyBorder="1" applyAlignment="1">
      <alignment vertical="center"/>
    </xf>
    <xf numFmtId="0" fontId="3" fillId="3" borderId="0" xfId="0" applyFont="1" applyFill="1" applyAlignment="1">
      <alignment horizontal="left"/>
    </xf>
    <xf numFmtId="0" fontId="3" fillId="3" borderId="6" xfId="0" applyFont="1" applyFill="1" applyBorder="1" applyAlignment="1">
      <alignment horizontal="left"/>
    </xf>
    <xf numFmtId="0" fontId="2" fillId="3" borderId="7" xfId="0" applyFont="1" applyFill="1" applyBorder="1"/>
    <xf numFmtId="0" fontId="4" fillId="3" borderId="0" xfId="0" applyFont="1" applyFill="1"/>
    <xf numFmtId="0" fontId="3" fillId="3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right"/>
    </xf>
    <xf numFmtId="4" fontId="4" fillId="3" borderId="1" xfId="0" applyNumberFormat="1" applyFont="1" applyFill="1" applyBorder="1"/>
    <xf numFmtId="0" fontId="5" fillId="4" borderId="0" xfId="0" applyFont="1" applyFill="1"/>
    <xf numFmtId="0" fontId="3" fillId="4" borderId="0" xfId="0" applyFont="1" applyFill="1"/>
    <xf numFmtId="4" fontId="5" fillId="4" borderId="0" xfId="0" applyNumberFormat="1" applyFont="1" applyFill="1" applyAlignment="1">
      <alignment horizontal="right"/>
    </xf>
    <xf numFmtId="0" fontId="7" fillId="4" borderId="0" xfId="0" applyFont="1" applyFill="1"/>
    <xf numFmtId="0" fontId="6" fillId="4" borderId="0" xfId="0" applyFont="1" applyFill="1"/>
    <xf numFmtId="0" fontId="7" fillId="5" borderId="0" xfId="0" applyFont="1" applyFill="1"/>
    <xf numFmtId="0" fontId="6" fillId="6" borderId="0" xfId="0" applyFont="1" applyFill="1"/>
    <xf numFmtId="0" fontId="3" fillId="7" borderId="0" xfId="0" applyFont="1" applyFill="1"/>
    <xf numFmtId="4" fontId="6" fillId="6" borderId="0" xfId="0" applyNumberFormat="1" applyFont="1" applyFill="1" applyAlignment="1">
      <alignment horizontal="right"/>
    </xf>
    <xf numFmtId="43" fontId="7" fillId="4" borderId="0" xfId="1" applyFont="1" applyFill="1" applyAlignment="1">
      <alignment horizontal="right"/>
    </xf>
    <xf numFmtId="43" fontId="6" fillId="4" borderId="0" xfId="1" applyFont="1" applyFill="1" applyAlignment="1">
      <alignment horizontal="right"/>
    </xf>
    <xf numFmtId="43" fontId="6" fillId="6" borderId="0" xfId="1" applyFont="1" applyFill="1" applyAlignment="1">
      <alignment horizontal="right"/>
    </xf>
    <xf numFmtId="43" fontId="5" fillId="4" borderId="0" xfId="1" applyFont="1" applyFill="1" applyAlignment="1">
      <alignment horizontal="right"/>
    </xf>
    <xf numFmtId="43" fontId="7" fillId="5" borderId="0" xfId="1" applyFont="1" applyFill="1" applyAlignment="1">
      <alignment horizontal="right"/>
    </xf>
    <xf numFmtId="16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43" fontId="3" fillId="3" borderId="1" xfId="1" applyFont="1" applyFill="1" applyBorder="1" applyAlignment="1">
      <alignment horizontal="center"/>
    </xf>
    <xf numFmtId="0" fontId="3" fillId="3" borderId="1" xfId="0" applyNumberFormat="1" applyFont="1" applyFill="1" applyBorder="1" applyAlignment="1">
      <alignment horizontal="center"/>
    </xf>
    <xf numFmtId="0" fontId="3" fillId="3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3" fillId="3" borderId="10" xfId="0" applyFont="1" applyFill="1" applyBorder="1"/>
    <xf numFmtId="0" fontId="3" fillId="3" borderId="11" xfId="0" applyFont="1" applyFill="1" applyBorder="1"/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0" xfId="0" applyFont="1" applyFill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  <xf numFmtId="14" fontId="2" fillId="3" borderId="8" xfId="0" applyNumberFormat="1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2" fillId="3" borderId="9" xfId="0" applyFont="1" applyFill="1" applyBorder="1" applyAlignment="1">
      <alignment horizontal="lef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"/>
  <sheetViews>
    <sheetView tabSelected="1" workbookViewId="0">
      <selection activeCell="O10" sqref="O10:Q10"/>
    </sheetView>
  </sheetViews>
  <sheetFormatPr baseColWidth="10" defaultColWidth="9.140625" defaultRowHeight="11.25" x14ac:dyDescent="0.2"/>
  <cols>
    <col min="1" max="1" width="12" style="8" customWidth="1"/>
    <col min="2" max="2" width="35" style="8" customWidth="1"/>
    <col min="3" max="3" width="15" style="8" customWidth="1"/>
    <col min="4" max="6" width="12" style="8" customWidth="1"/>
    <col min="7" max="9" width="10" style="8" customWidth="1"/>
    <col min="10" max="11" width="12" style="8" customWidth="1"/>
    <col min="12" max="12" width="15" style="8" customWidth="1"/>
    <col min="13" max="13" width="18" style="8" customWidth="1"/>
    <col min="14" max="15" width="15" style="8" customWidth="1"/>
    <col min="16" max="16" width="10" style="8" customWidth="1"/>
    <col min="17" max="17" width="15" style="8" customWidth="1"/>
    <col min="18" max="16384" width="9.140625" style="8"/>
  </cols>
  <sheetData>
    <row r="1" spans="1:17" x14ac:dyDescent="0.2">
      <c r="A1" s="7"/>
    </row>
    <row r="2" spans="1:17" x14ac:dyDescent="0.2">
      <c r="A2" s="1" t="s">
        <v>19</v>
      </c>
      <c r="B2" s="37" t="s">
        <v>20</v>
      </c>
      <c r="C2" s="37"/>
      <c r="D2" s="37"/>
      <c r="E2" s="37"/>
      <c r="F2" s="37"/>
      <c r="G2" s="38"/>
    </row>
    <row r="3" spans="1:17" x14ac:dyDescent="0.2">
      <c r="A3" s="2" t="s">
        <v>21</v>
      </c>
      <c r="B3" s="39" t="s">
        <v>22</v>
      </c>
      <c r="C3" s="39"/>
      <c r="D3" s="39"/>
      <c r="E3" s="39"/>
      <c r="F3" s="39"/>
      <c r="G3" s="40"/>
    </row>
    <row r="4" spans="1:17" ht="27.75" customHeight="1" x14ac:dyDescent="0.2">
      <c r="A4" s="3" t="s">
        <v>23</v>
      </c>
      <c r="B4" s="41" t="s">
        <v>24</v>
      </c>
      <c r="C4" s="41"/>
      <c r="D4" s="41"/>
      <c r="E4" s="41"/>
      <c r="F4" s="41"/>
      <c r="G4" s="42"/>
    </row>
    <row r="5" spans="1:17" x14ac:dyDescent="0.2">
      <c r="A5" s="2" t="s">
        <v>27</v>
      </c>
      <c r="B5" s="4"/>
      <c r="C5" s="4"/>
      <c r="D5" s="4"/>
      <c r="E5" s="4"/>
      <c r="F5" s="4"/>
      <c r="G5" s="5"/>
    </row>
    <row r="6" spans="1:17" x14ac:dyDescent="0.2">
      <c r="A6" s="2" t="s">
        <v>25</v>
      </c>
      <c r="B6" s="39">
        <v>202610</v>
      </c>
      <c r="C6" s="39"/>
      <c r="D6" s="39"/>
      <c r="E6" s="39"/>
      <c r="F6" s="39"/>
      <c r="G6" s="40"/>
    </row>
    <row r="7" spans="1:17" x14ac:dyDescent="0.2">
      <c r="A7" s="6" t="s">
        <v>26</v>
      </c>
      <c r="B7" s="43">
        <v>46326</v>
      </c>
      <c r="C7" s="44"/>
      <c r="D7" s="44"/>
      <c r="E7" s="44"/>
      <c r="F7" s="44"/>
      <c r="G7" s="45"/>
    </row>
    <row r="8" spans="1:17" x14ac:dyDescent="0.2">
      <c r="A8" s="7"/>
    </row>
    <row r="9" spans="1:17" x14ac:dyDescent="0.2">
      <c r="A9" s="7"/>
    </row>
    <row r="10" spans="1:17" x14ac:dyDescent="0.2">
      <c r="O10" s="34" t="s">
        <v>0</v>
      </c>
      <c r="P10" s="35"/>
      <c r="Q10" s="36"/>
    </row>
    <row r="11" spans="1:17" ht="22.5" x14ac:dyDescent="0.2">
      <c r="A11" s="9" t="s">
        <v>1</v>
      </c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9" t="s">
        <v>11</v>
      </c>
      <c r="L11" s="9" t="s">
        <v>12</v>
      </c>
      <c r="M11" s="9" t="s">
        <v>13</v>
      </c>
      <c r="N11" s="9" t="s">
        <v>14</v>
      </c>
      <c r="O11" s="9" t="s">
        <v>15</v>
      </c>
      <c r="P11" s="9" t="s">
        <v>16</v>
      </c>
      <c r="Q11" s="9" t="s">
        <v>17</v>
      </c>
    </row>
    <row r="12" spans="1:17" x14ac:dyDescent="0.2">
      <c r="A12" s="26">
        <f>Data!A2</f>
        <v>46296</v>
      </c>
      <c r="B12" s="27" t="str">
        <f>Data!B2</f>
        <v>CARLOS JOSE RODRIGUEZ COLMENARES</v>
      </c>
      <c r="C12" s="27" t="str">
        <f>Data!C2</f>
        <v>V149899452</v>
      </c>
      <c r="D12" s="30">
        <f>Data!D2</f>
        <v>1</v>
      </c>
      <c r="E12" s="30">
        <f>Data!E2</f>
        <v>1</v>
      </c>
      <c r="F12" s="31">
        <f>Data!F2</f>
        <v>0</v>
      </c>
      <c r="G12" s="31">
        <f>Data!G2</f>
        <v>0</v>
      </c>
      <c r="H12" s="31">
        <f>Data!H2</f>
        <v>0</v>
      </c>
      <c r="I12" s="31">
        <f>Data!I2</f>
        <v>0</v>
      </c>
      <c r="J12" s="31">
        <f>Data!J2</f>
        <v>0</v>
      </c>
      <c r="K12" s="31">
        <f>Data!K2</f>
        <v>0</v>
      </c>
      <c r="L12" s="31">
        <f>Data!L2</f>
        <v>0</v>
      </c>
      <c r="M12" s="28">
        <f>Data!M2</f>
        <v>42400</v>
      </c>
      <c r="N12" s="28">
        <f>Data!N2</f>
        <v>25000</v>
      </c>
      <c r="O12" s="28">
        <f>Data!O2</f>
        <v>15000</v>
      </c>
      <c r="P12" s="32">
        <f>Data!P2</f>
        <v>16</v>
      </c>
      <c r="Q12" s="28">
        <f>Data!Q2</f>
        <v>2400</v>
      </c>
    </row>
    <row r="13" spans="1:17" x14ac:dyDescent="0.2">
      <c r="A13" s="26" t="e">
        <f>Data!#REF!</f>
        <v>#REF!</v>
      </c>
      <c r="B13" s="27" t="e">
        <f>Data!#REF!</f>
        <v>#REF!</v>
      </c>
      <c r="C13" s="27" t="e">
        <f>Data!#REF!</f>
        <v>#REF!</v>
      </c>
      <c r="D13" s="30" t="e">
        <f>Data!#REF!</f>
        <v>#REF!</v>
      </c>
      <c r="E13" s="30" t="e">
        <f>Data!#REF!</f>
        <v>#REF!</v>
      </c>
      <c r="F13" s="31" t="e">
        <f>Data!#REF!</f>
        <v>#REF!</v>
      </c>
      <c r="G13" s="31" t="e">
        <f>Data!#REF!</f>
        <v>#REF!</v>
      </c>
      <c r="H13" s="31" t="e">
        <f>Data!#REF!</f>
        <v>#REF!</v>
      </c>
      <c r="I13" s="31" t="e">
        <f>Data!#REF!</f>
        <v>#REF!</v>
      </c>
      <c r="J13" s="31" t="e">
        <f>Data!#REF!</f>
        <v>#REF!</v>
      </c>
      <c r="K13" s="31" t="e">
        <f>Data!#REF!</f>
        <v>#REF!</v>
      </c>
      <c r="L13" s="31" t="e">
        <f>Data!#REF!</f>
        <v>#REF!</v>
      </c>
      <c r="M13" s="28" t="e">
        <f>Data!#REF!</f>
        <v>#REF!</v>
      </c>
      <c r="N13" s="28" t="e">
        <f>Data!#REF!</f>
        <v>#REF!</v>
      </c>
      <c r="O13" s="28" t="e">
        <f>Data!#REF!</f>
        <v>#REF!</v>
      </c>
      <c r="P13" s="32" t="e">
        <f>Data!#REF!</f>
        <v>#REF!</v>
      </c>
      <c r="Q13" s="28" t="e">
        <f>Data!#REF!</f>
        <v>#REF!</v>
      </c>
    </row>
    <row r="14" spans="1:17" x14ac:dyDescent="0.2">
      <c r="A14" s="26" t="e">
        <f>Data!#REF!</f>
        <v>#REF!</v>
      </c>
      <c r="B14" s="27" t="e">
        <f>Data!#REF!</f>
        <v>#REF!</v>
      </c>
      <c r="C14" s="27" t="e">
        <f>Data!#REF!</f>
        <v>#REF!</v>
      </c>
      <c r="D14" s="30" t="e">
        <f>Data!#REF!</f>
        <v>#REF!</v>
      </c>
      <c r="E14" s="30" t="e">
        <f>Data!#REF!</f>
        <v>#REF!</v>
      </c>
      <c r="F14" s="31" t="e">
        <f>Data!#REF!</f>
        <v>#REF!</v>
      </c>
      <c r="G14" s="31" t="e">
        <f>Data!#REF!</f>
        <v>#REF!</v>
      </c>
      <c r="H14" s="31" t="e">
        <f>Data!#REF!</f>
        <v>#REF!</v>
      </c>
      <c r="I14" s="31" t="e">
        <f>Data!#REF!</f>
        <v>#REF!</v>
      </c>
      <c r="J14" s="31" t="e">
        <f>Data!#REF!</f>
        <v>#REF!</v>
      </c>
      <c r="K14" s="31" t="e">
        <f>Data!#REF!</f>
        <v>#REF!</v>
      </c>
      <c r="L14" s="31" t="e">
        <f>Data!#REF!</f>
        <v>#REF!</v>
      </c>
      <c r="M14" s="28" t="e">
        <f>Data!#REF!</f>
        <v>#REF!</v>
      </c>
      <c r="N14" s="28" t="e">
        <f>Data!#REF!</f>
        <v>#REF!</v>
      </c>
      <c r="O14" s="28" t="e">
        <f>Data!#REF!</f>
        <v>#REF!</v>
      </c>
      <c r="P14" s="32" t="e">
        <f>Data!#REF!</f>
        <v>#REF!</v>
      </c>
      <c r="Q14" s="28" t="e">
        <f>Data!#REF!</f>
        <v>#REF!</v>
      </c>
    </row>
    <row r="15" spans="1:17" x14ac:dyDescent="0.2">
      <c r="A15" s="26" t="e">
        <f>Data!#REF!</f>
        <v>#REF!</v>
      </c>
      <c r="B15" s="27" t="e">
        <f>Data!#REF!</f>
        <v>#REF!</v>
      </c>
      <c r="C15" s="27" t="e">
        <f>Data!#REF!</f>
        <v>#REF!</v>
      </c>
      <c r="D15" s="30" t="e">
        <f>Data!#REF!</f>
        <v>#REF!</v>
      </c>
      <c r="E15" s="30" t="e">
        <f>Data!#REF!</f>
        <v>#REF!</v>
      </c>
      <c r="F15" s="31" t="e">
        <f>Data!#REF!</f>
        <v>#REF!</v>
      </c>
      <c r="G15" s="31" t="e">
        <f>Data!#REF!</f>
        <v>#REF!</v>
      </c>
      <c r="H15" s="31" t="e">
        <f>Data!#REF!</f>
        <v>#REF!</v>
      </c>
      <c r="I15" s="31" t="e">
        <f>Data!#REF!</f>
        <v>#REF!</v>
      </c>
      <c r="J15" s="31" t="e">
        <f>Data!#REF!</f>
        <v>#REF!</v>
      </c>
      <c r="K15" s="31" t="e">
        <f>Data!#REF!</f>
        <v>#REF!</v>
      </c>
      <c r="L15" s="31" t="e">
        <f>Data!#REF!</f>
        <v>#REF!</v>
      </c>
      <c r="M15" s="28" t="e">
        <f>Data!#REF!</f>
        <v>#REF!</v>
      </c>
      <c r="N15" s="28" t="e">
        <f>Data!#REF!</f>
        <v>#REF!</v>
      </c>
      <c r="O15" s="28" t="e">
        <f>Data!#REF!</f>
        <v>#REF!</v>
      </c>
      <c r="P15" s="32" t="e">
        <f>Data!#REF!</f>
        <v>#REF!</v>
      </c>
      <c r="Q15" s="28" t="e">
        <f>Data!#REF!</f>
        <v>#REF!</v>
      </c>
    </row>
    <row r="16" spans="1:17" x14ac:dyDescent="0.2">
      <c r="A16" s="26" t="e">
        <f>Data!#REF!</f>
        <v>#REF!</v>
      </c>
      <c r="B16" s="27" t="e">
        <f>Data!#REF!</f>
        <v>#REF!</v>
      </c>
      <c r="C16" s="27" t="e">
        <f>Data!#REF!</f>
        <v>#REF!</v>
      </c>
      <c r="D16" s="30" t="e">
        <f>Data!#REF!</f>
        <v>#REF!</v>
      </c>
      <c r="E16" s="30" t="e">
        <f>Data!#REF!</f>
        <v>#REF!</v>
      </c>
      <c r="F16" s="31" t="e">
        <f>Data!#REF!</f>
        <v>#REF!</v>
      </c>
      <c r="G16" s="31" t="e">
        <f>Data!#REF!</f>
        <v>#REF!</v>
      </c>
      <c r="H16" s="31" t="e">
        <f>Data!#REF!</f>
        <v>#REF!</v>
      </c>
      <c r="I16" s="31" t="e">
        <f>Data!#REF!</f>
        <v>#REF!</v>
      </c>
      <c r="J16" s="31" t="e">
        <f>Data!#REF!</f>
        <v>#REF!</v>
      </c>
      <c r="K16" s="31" t="e">
        <f>Data!#REF!</f>
        <v>#REF!</v>
      </c>
      <c r="L16" s="31" t="e">
        <f>Data!#REF!</f>
        <v>#REF!</v>
      </c>
      <c r="M16" s="28" t="e">
        <f>Data!#REF!</f>
        <v>#REF!</v>
      </c>
      <c r="N16" s="28" t="e">
        <f>Data!#REF!</f>
        <v>#REF!</v>
      </c>
      <c r="O16" s="28" t="e">
        <f>Data!#REF!</f>
        <v>#REF!</v>
      </c>
      <c r="P16" s="32" t="e">
        <f>Data!#REF!</f>
        <v>#REF!</v>
      </c>
      <c r="Q16" s="28" t="e">
        <f>Data!#REF!</f>
        <v>#REF!</v>
      </c>
    </row>
    <row r="17" spans="1:17" x14ac:dyDescent="0.2">
      <c r="A17" s="26" t="e">
        <f>Data!#REF!</f>
        <v>#REF!</v>
      </c>
      <c r="B17" s="27" t="e">
        <f>Data!#REF!</f>
        <v>#REF!</v>
      </c>
      <c r="C17" s="27" t="e">
        <f>Data!#REF!</f>
        <v>#REF!</v>
      </c>
      <c r="D17" s="30" t="e">
        <f>Data!#REF!</f>
        <v>#REF!</v>
      </c>
      <c r="E17" s="30" t="e">
        <f>Data!#REF!</f>
        <v>#REF!</v>
      </c>
      <c r="F17" s="31" t="e">
        <f>Data!#REF!</f>
        <v>#REF!</v>
      </c>
      <c r="G17" s="31" t="e">
        <f>Data!#REF!</f>
        <v>#REF!</v>
      </c>
      <c r="H17" s="31" t="e">
        <f>Data!#REF!</f>
        <v>#REF!</v>
      </c>
      <c r="I17" s="31" t="e">
        <f>Data!#REF!</f>
        <v>#REF!</v>
      </c>
      <c r="J17" s="31" t="e">
        <f>Data!#REF!</f>
        <v>#REF!</v>
      </c>
      <c r="K17" s="31" t="e">
        <f>Data!#REF!</f>
        <v>#REF!</v>
      </c>
      <c r="L17" s="31" t="e">
        <f>Data!#REF!</f>
        <v>#REF!</v>
      </c>
      <c r="M17" s="28" t="e">
        <f>Data!#REF!</f>
        <v>#REF!</v>
      </c>
      <c r="N17" s="28" t="e">
        <f>Data!#REF!</f>
        <v>#REF!</v>
      </c>
      <c r="O17" s="28" t="e">
        <f>Data!#REF!</f>
        <v>#REF!</v>
      </c>
      <c r="P17" s="32" t="e">
        <f>Data!#REF!</f>
        <v>#REF!</v>
      </c>
      <c r="Q17" s="28" t="e">
        <f>Data!#REF!</f>
        <v>#REF!</v>
      </c>
    </row>
    <row r="18" spans="1:17" x14ac:dyDescent="0.2">
      <c r="A18" s="26" t="e">
        <f>Data!#REF!</f>
        <v>#REF!</v>
      </c>
      <c r="B18" s="27" t="e">
        <f>Data!#REF!</f>
        <v>#REF!</v>
      </c>
      <c r="C18" s="27" t="e">
        <f>Data!#REF!</f>
        <v>#REF!</v>
      </c>
      <c r="D18" s="30" t="e">
        <f>Data!#REF!</f>
        <v>#REF!</v>
      </c>
      <c r="E18" s="30" t="e">
        <f>Data!#REF!</f>
        <v>#REF!</v>
      </c>
      <c r="F18" s="31" t="e">
        <f>Data!#REF!</f>
        <v>#REF!</v>
      </c>
      <c r="G18" s="31" t="e">
        <f>Data!#REF!</f>
        <v>#REF!</v>
      </c>
      <c r="H18" s="31" t="e">
        <f>Data!#REF!</f>
        <v>#REF!</v>
      </c>
      <c r="I18" s="31" t="e">
        <f>Data!#REF!</f>
        <v>#REF!</v>
      </c>
      <c r="J18" s="31" t="e">
        <f>Data!#REF!</f>
        <v>#REF!</v>
      </c>
      <c r="K18" s="31" t="e">
        <f>Data!#REF!</f>
        <v>#REF!</v>
      </c>
      <c r="L18" s="31" t="e">
        <f>Data!#REF!</f>
        <v>#REF!</v>
      </c>
      <c r="M18" s="28" t="e">
        <f>Data!#REF!</f>
        <v>#REF!</v>
      </c>
      <c r="N18" s="28" t="e">
        <f>Data!#REF!</f>
        <v>#REF!</v>
      </c>
      <c r="O18" s="28" t="e">
        <f>Data!#REF!</f>
        <v>#REF!</v>
      </c>
      <c r="P18" s="32" t="e">
        <f>Data!#REF!</f>
        <v>#REF!</v>
      </c>
      <c r="Q18" s="28" t="e">
        <f>Data!#REF!</f>
        <v>#REF!</v>
      </c>
    </row>
    <row r="19" spans="1:17" x14ac:dyDescent="0.2">
      <c r="A19" s="26" t="e">
        <f>Data!#REF!</f>
        <v>#REF!</v>
      </c>
      <c r="B19" s="27" t="e">
        <f>Data!#REF!</f>
        <v>#REF!</v>
      </c>
      <c r="C19" s="27" t="e">
        <f>Data!#REF!</f>
        <v>#REF!</v>
      </c>
      <c r="D19" s="30" t="e">
        <f>Data!#REF!</f>
        <v>#REF!</v>
      </c>
      <c r="E19" s="30" t="e">
        <f>Data!#REF!</f>
        <v>#REF!</v>
      </c>
      <c r="F19" s="31" t="e">
        <f>Data!#REF!</f>
        <v>#REF!</v>
      </c>
      <c r="G19" s="31" t="e">
        <f>Data!#REF!</f>
        <v>#REF!</v>
      </c>
      <c r="H19" s="31" t="e">
        <f>Data!#REF!</f>
        <v>#REF!</v>
      </c>
      <c r="I19" s="31" t="e">
        <f>Data!#REF!</f>
        <v>#REF!</v>
      </c>
      <c r="J19" s="31" t="e">
        <f>Data!#REF!</f>
        <v>#REF!</v>
      </c>
      <c r="K19" s="31" t="e">
        <f>Data!#REF!</f>
        <v>#REF!</v>
      </c>
      <c r="L19" s="31" t="e">
        <f>Data!#REF!</f>
        <v>#REF!</v>
      </c>
      <c r="M19" s="28" t="e">
        <f>Data!#REF!</f>
        <v>#REF!</v>
      </c>
      <c r="N19" s="28" t="e">
        <f>Data!#REF!</f>
        <v>#REF!</v>
      </c>
      <c r="O19" s="28" t="e">
        <f>Data!#REF!</f>
        <v>#REF!</v>
      </c>
      <c r="P19" s="32" t="e">
        <f>Data!#REF!</f>
        <v>#REF!</v>
      </c>
      <c r="Q19" s="28" t="e">
        <f>Data!#REF!</f>
        <v>#REF!</v>
      </c>
    </row>
    <row r="20" spans="1:17" x14ac:dyDescent="0.2">
      <c r="A20" s="26" t="e">
        <f>Data!#REF!</f>
        <v>#REF!</v>
      </c>
      <c r="B20" s="27" t="e">
        <f>Data!#REF!</f>
        <v>#REF!</v>
      </c>
      <c r="C20" s="27" t="e">
        <f>Data!#REF!</f>
        <v>#REF!</v>
      </c>
      <c r="D20" s="30" t="e">
        <f>Data!#REF!</f>
        <v>#REF!</v>
      </c>
      <c r="E20" s="30" t="e">
        <f>Data!#REF!</f>
        <v>#REF!</v>
      </c>
      <c r="F20" s="31" t="e">
        <f>Data!#REF!</f>
        <v>#REF!</v>
      </c>
      <c r="G20" s="31" t="e">
        <f>Data!#REF!</f>
        <v>#REF!</v>
      </c>
      <c r="H20" s="31" t="e">
        <f>Data!#REF!</f>
        <v>#REF!</v>
      </c>
      <c r="I20" s="31" t="e">
        <f>Data!#REF!</f>
        <v>#REF!</v>
      </c>
      <c r="J20" s="31" t="e">
        <f>Data!#REF!</f>
        <v>#REF!</v>
      </c>
      <c r="K20" s="31" t="e">
        <f>Data!#REF!</f>
        <v>#REF!</v>
      </c>
      <c r="L20" s="31" t="e">
        <f>Data!#REF!</f>
        <v>#REF!</v>
      </c>
      <c r="M20" s="28" t="e">
        <f>Data!#REF!</f>
        <v>#REF!</v>
      </c>
      <c r="N20" s="28" t="e">
        <f>Data!#REF!</f>
        <v>#REF!</v>
      </c>
      <c r="O20" s="28" t="e">
        <f>Data!#REF!</f>
        <v>#REF!</v>
      </c>
      <c r="P20" s="32" t="e">
        <f>Data!#REF!</f>
        <v>#REF!</v>
      </c>
      <c r="Q20" s="28" t="e">
        <f>Data!#REF!</f>
        <v>#REF!</v>
      </c>
    </row>
    <row r="21" spans="1:17" x14ac:dyDescent="0.2">
      <c r="A21" s="26" t="e">
        <f>Data!#REF!</f>
        <v>#REF!</v>
      </c>
      <c r="B21" s="27" t="e">
        <f>Data!#REF!</f>
        <v>#REF!</v>
      </c>
      <c r="C21" s="27" t="e">
        <f>Data!#REF!</f>
        <v>#REF!</v>
      </c>
      <c r="D21" s="30" t="e">
        <f>Data!#REF!</f>
        <v>#REF!</v>
      </c>
      <c r="E21" s="30" t="e">
        <f>Data!#REF!</f>
        <v>#REF!</v>
      </c>
      <c r="F21" s="31" t="e">
        <f>Data!#REF!</f>
        <v>#REF!</v>
      </c>
      <c r="G21" s="31" t="e">
        <f>Data!#REF!</f>
        <v>#REF!</v>
      </c>
      <c r="H21" s="31" t="e">
        <f>Data!#REF!</f>
        <v>#REF!</v>
      </c>
      <c r="I21" s="31" t="e">
        <f>Data!#REF!</f>
        <v>#REF!</v>
      </c>
      <c r="J21" s="31" t="e">
        <f>Data!#REF!</f>
        <v>#REF!</v>
      </c>
      <c r="K21" s="31" t="e">
        <f>Data!#REF!</f>
        <v>#REF!</v>
      </c>
      <c r="L21" s="31" t="e">
        <f>Data!#REF!</f>
        <v>#REF!</v>
      </c>
      <c r="M21" s="28" t="e">
        <f>Data!#REF!</f>
        <v>#REF!</v>
      </c>
      <c r="N21" s="28" t="e">
        <f>Data!#REF!</f>
        <v>#REF!</v>
      </c>
      <c r="O21" s="28" t="e">
        <f>Data!#REF!</f>
        <v>#REF!</v>
      </c>
      <c r="P21" s="32" t="e">
        <f>Data!#REF!</f>
        <v>#REF!</v>
      </c>
      <c r="Q21" s="28" t="e">
        <f>Data!#REF!</f>
        <v>#REF!</v>
      </c>
    </row>
    <row r="22" spans="1:17" x14ac:dyDescent="0.2">
      <c r="A22" s="26" t="e">
        <f>Data!#REF!</f>
        <v>#REF!</v>
      </c>
      <c r="B22" s="27" t="e">
        <f>Data!#REF!</f>
        <v>#REF!</v>
      </c>
      <c r="C22" s="27" t="e">
        <f>Data!#REF!</f>
        <v>#REF!</v>
      </c>
      <c r="D22" s="30" t="e">
        <f>Data!#REF!</f>
        <v>#REF!</v>
      </c>
      <c r="E22" s="30" t="e">
        <f>Data!#REF!</f>
        <v>#REF!</v>
      </c>
      <c r="F22" s="31" t="e">
        <f>Data!#REF!</f>
        <v>#REF!</v>
      </c>
      <c r="G22" s="31" t="e">
        <f>Data!#REF!</f>
        <v>#REF!</v>
      </c>
      <c r="H22" s="31" t="e">
        <f>Data!#REF!</f>
        <v>#REF!</v>
      </c>
      <c r="I22" s="31" t="e">
        <f>Data!#REF!</f>
        <v>#REF!</v>
      </c>
      <c r="J22" s="31" t="e">
        <f>Data!#REF!</f>
        <v>#REF!</v>
      </c>
      <c r="K22" s="31" t="e">
        <f>Data!#REF!</f>
        <v>#REF!</v>
      </c>
      <c r="L22" s="31" t="e">
        <f>Data!#REF!</f>
        <v>#REF!</v>
      </c>
      <c r="M22" s="28" t="e">
        <f>Data!#REF!</f>
        <v>#REF!</v>
      </c>
      <c r="N22" s="28" t="e">
        <f>Data!#REF!</f>
        <v>#REF!</v>
      </c>
      <c r="O22" s="28" t="e">
        <f>Data!#REF!</f>
        <v>#REF!</v>
      </c>
      <c r="P22" s="32" t="e">
        <f>Data!#REF!</f>
        <v>#REF!</v>
      </c>
      <c r="Q22" s="28" t="e">
        <f>Data!#REF!</f>
        <v>#REF!</v>
      </c>
    </row>
    <row r="23" spans="1:17" x14ac:dyDescent="0.2">
      <c r="A23" s="26" t="e">
        <f>Data!#REF!</f>
        <v>#REF!</v>
      </c>
      <c r="B23" s="27" t="e">
        <f>Data!#REF!</f>
        <v>#REF!</v>
      </c>
      <c r="C23" s="27" t="e">
        <f>Data!#REF!</f>
        <v>#REF!</v>
      </c>
      <c r="D23" s="30" t="e">
        <f>Data!#REF!</f>
        <v>#REF!</v>
      </c>
      <c r="E23" s="30" t="e">
        <f>Data!#REF!</f>
        <v>#REF!</v>
      </c>
      <c r="F23" s="31" t="e">
        <f>Data!#REF!</f>
        <v>#REF!</v>
      </c>
      <c r="G23" s="31" t="e">
        <f>Data!#REF!</f>
        <v>#REF!</v>
      </c>
      <c r="H23" s="31" t="e">
        <f>Data!#REF!</f>
        <v>#REF!</v>
      </c>
      <c r="I23" s="31" t="e">
        <f>Data!#REF!</f>
        <v>#REF!</v>
      </c>
      <c r="J23" s="31" t="e">
        <f>Data!#REF!</f>
        <v>#REF!</v>
      </c>
      <c r="K23" s="31" t="e">
        <f>Data!#REF!</f>
        <v>#REF!</v>
      </c>
      <c r="L23" s="31" t="e">
        <f>Data!#REF!</f>
        <v>#REF!</v>
      </c>
      <c r="M23" s="28" t="e">
        <f>Data!#REF!</f>
        <v>#REF!</v>
      </c>
      <c r="N23" s="28" t="e">
        <f>Data!#REF!</f>
        <v>#REF!</v>
      </c>
      <c r="O23" s="28" t="e">
        <f>Data!#REF!</f>
        <v>#REF!</v>
      </c>
      <c r="P23" s="32" t="e">
        <f>Data!#REF!</f>
        <v>#REF!</v>
      </c>
      <c r="Q23" s="28" t="e">
        <f>Data!#REF!</f>
        <v>#REF!</v>
      </c>
    </row>
    <row r="24" spans="1:17" x14ac:dyDescent="0.2">
      <c r="A24" s="26" t="e">
        <f>Data!#REF!</f>
        <v>#REF!</v>
      </c>
      <c r="B24" s="27" t="e">
        <f>Data!#REF!</f>
        <v>#REF!</v>
      </c>
      <c r="C24" s="27" t="e">
        <f>Data!#REF!</f>
        <v>#REF!</v>
      </c>
      <c r="D24" s="30" t="e">
        <f>Data!#REF!</f>
        <v>#REF!</v>
      </c>
      <c r="E24" s="30" t="e">
        <f>Data!#REF!</f>
        <v>#REF!</v>
      </c>
      <c r="F24" s="31" t="e">
        <f>Data!#REF!</f>
        <v>#REF!</v>
      </c>
      <c r="G24" s="31" t="e">
        <f>Data!#REF!</f>
        <v>#REF!</v>
      </c>
      <c r="H24" s="31" t="e">
        <f>Data!#REF!</f>
        <v>#REF!</v>
      </c>
      <c r="I24" s="31" t="e">
        <f>Data!#REF!</f>
        <v>#REF!</v>
      </c>
      <c r="J24" s="31" t="e">
        <f>Data!#REF!</f>
        <v>#REF!</v>
      </c>
      <c r="K24" s="31" t="e">
        <f>Data!#REF!</f>
        <v>#REF!</v>
      </c>
      <c r="L24" s="31" t="e">
        <f>Data!#REF!</f>
        <v>#REF!</v>
      </c>
      <c r="M24" s="28" t="e">
        <f>Data!#REF!</f>
        <v>#REF!</v>
      </c>
      <c r="N24" s="28" t="e">
        <f>Data!#REF!</f>
        <v>#REF!</v>
      </c>
      <c r="O24" s="28" t="e">
        <f>Data!#REF!</f>
        <v>#REF!</v>
      </c>
      <c r="P24" s="32" t="e">
        <f>Data!#REF!</f>
        <v>#REF!</v>
      </c>
      <c r="Q24" s="28" t="e">
        <f>Data!#REF!</f>
        <v>#REF!</v>
      </c>
    </row>
    <row r="25" spans="1:17" x14ac:dyDescent="0.2">
      <c r="A25" s="26" t="e">
        <f>Data!#REF!</f>
        <v>#REF!</v>
      </c>
      <c r="B25" s="27" t="e">
        <f>Data!#REF!</f>
        <v>#REF!</v>
      </c>
      <c r="C25" s="27" t="e">
        <f>Data!#REF!</f>
        <v>#REF!</v>
      </c>
      <c r="D25" s="30" t="e">
        <f>Data!#REF!</f>
        <v>#REF!</v>
      </c>
      <c r="E25" s="30" t="e">
        <f>Data!#REF!</f>
        <v>#REF!</v>
      </c>
      <c r="F25" s="31" t="e">
        <f>Data!#REF!</f>
        <v>#REF!</v>
      </c>
      <c r="G25" s="31" t="e">
        <f>Data!#REF!</f>
        <v>#REF!</v>
      </c>
      <c r="H25" s="31" t="e">
        <f>Data!#REF!</f>
        <v>#REF!</v>
      </c>
      <c r="I25" s="31" t="e">
        <f>Data!#REF!</f>
        <v>#REF!</v>
      </c>
      <c r="J25" s="31" t="e">
        <f>Data!#REF!</f>
        <v>#REF!</v>
      </c>
      <c r="K25" s="31" t="e">
        <f>Data!#REF!</f>
        <v>#REF!</v>
      </c>
      <c r="L25" s="31" t="e">
        <f>Data!#REF!</f>
        <v>#REF!</v>
      </c>
      <c r="M25" s="28" t="e">
        <f>Data!#REF!</f>
        <v>#REF!</v>
      </c>
      <c r="N25" s="28" t="e">
        <f>Data!#REF!</f>
        <v>#REF!</v>
      </c>
      <c r="O25" s="28" t="e">
        <f>Data!#REF!</f>
        <v>#REF!</v>
      </c>
      <c r="P25" s="32" t="e">
        <f>Data!#REF!</f>
        <v>#REF!</v>
      </c>
      <c r="Q25" s="28" t="e">
        <f>Data!#REF!</f>
        <v>#REF!</v>
      </c>
    </row>
    <row r="26" spans="1:17" x14ac:dyDescent="0.2">
      <c r="A26" s="26" t="e">
        <f>Data!#REF!</f>
        <v>#REF!</v>
      </c>
      <c r="B26" s="27" t="e">
        <f>Data!#REF!</f>
        <v>#REF!</v>
      </c>
      <c r="C26" s="27" t="e">
        <f>Data!#REF!</f>
        <v>#REF!</v>
      </c>
      <c r="D26" s="30" t="e">
        <f>Data!#REF!</f>
        <v>#REF!</v>
      </c>
      <c r="E26" s="30" t="e">
        <f>Data!#REF!</f>
        <v>#REF!</v>
      </c>
      <c r="F26" s="31" t="e">
        <f>Data!#REF!</f>
        <v>#REF!</v>
      </c>
      <c r="G26" s="31" t="e">
        <f>Data!#REF!</f>
        <v>#REF!</v>
      </c>
      <c r="H26" s="31" t="e">
        <f>Data!#REF!</f>
        <v>#REF!</v>
      </c>
      <c r="I26" s="31" t="e">
        <f>Data!#REF!</f>
        <v>#REF!</v>
      </c>
      <c r="J26" s="31" t="e">
        <f>Data!#REF!</f>
        <v>#REF!</v>
      </c>
      <c r="K26" s="31" t="e">
        <f>Data!#REF!</f>
        <v>#REF!</v>
      </c>
      <c r="L26" s="31" t="e">
        <f>Data!#REF!</f>
        <v>#REF!</v>
      </c>
      <c r="M26" s="28" t="e">
        <f>Data!#REF!</f>
        <v>#REF!</v>
      </c>
      <c r="N26" s="28" t="e">
        <f>Data!#REF!</f>
        <v>#REF!</v>
      </c>
      <c r="O26" s="28" t="e">
        <f>Data!#REF!</f>
        <v>#REF!</v>
      </c>
      <c r="P26" s="32" t="e">
        <f>Data!#REF!</f>
        <v>#REF!</v>
      </c>
      <c r="Q26" s="28" t="e">
        <f>Data!#REF!</f>
        <v>#REF!</v>
      </c>
    </row>
    <row r="27" spans="1:17" x14ac:dyDescent="0.2">
      <c r="A27" s="31">
        <f>Data!A3</f>
        <v>46297</v>
      </c>
      <c r="B27" s="31" t="str">
        <f>Data!B3</f>
        <v>CARLOS JOSE RODRIGUEZ COLMENARES</v>
      </c>
      <c r="C27" s="31" t="str">
        <f>Data!C3</f>
        <v>V149899452</v>
      </c>
      <c r="D27" s="31">
        <f>Data!D3</f>
        <v>2</v>
      </c>
      <c r="E27" s="31">
        <f>Data!E3</f>
        <v>2</v>
      </c>
      <c r="F27" s="31">
        <f>Data!F3</f>
        <v>0</v>
      </c>
      <c r="G27" s="31">
        <f>Data!G3</f>
        <v>0</v>
      </c>
      <c r="H27" s="31">
        <f>Data!H3</f>
        <v>0</v>
      </c>
      <c r="I27" s="31">
        <f>Data!I3</f>
        <v>0</v>
      </c>
      <c r="J27" s="31">
        <f>Data!J3</f>
        <v>0</v>
      </c>
      <c r="K27" s="31">
        <f>Data!K3</f>
        <v>0</v>
      </c>
      <c r="L27" s="31">
        <f>Data!L3</f>
        <v>0</v>
      </c>
      <c r="M27" s="31">
        <f>Data!M3</f>
        <v>42400</v>
      </c>
      <c r="N27" s="31">
        <f>Data!N3</f>
        <v>25000</v>
      </c>
      <c r="O27" s="31">
        <f>Data!O3</f>
        <v>15000</v>
      </c>
      <c r="P27" s="31">
        <f>Data!P3</f>
        <v>16</v>
      </c>
      <c r="Q27" s="31">
        <f>Data!Q3</f>
        <v>2400</v>
      </c>
    </row>
    <row r="28" spans="1:17" x14ac:dyDescent="0.2">
      <c r="L28" s="10" t="s">
        <v>18</v>
      </c>
      <c r="M28" s="11" t="e">
        <f>SUM(M12:M26)</f>
        <v>#REF!</v>
      </c>
      <c r="N28" s="11" t="e">
        <f>SUM(N12:N26)</f>
        <v>#REF!</v>
      </c>
      <c r="O28" s="11" t="e">
        <f>SUM(O12:O26)</f>
        <v>#REF!</v>
      </c>
      <c r="Q28" s="11" t="e">
        <f>SUM(Q12:Q26)</f>
        <v>#REF!</v>
      </c>
    </row>
    <row r="32" spans="1:17" ht="15" x14ac:dyDescent="0.25">
      <c r="M32" s="12" t="s">
        <v>28</v>
      </c>
      <c r="N32" s="13"/>
      <c r="O32" s="13"/>
      <c r="P32" s="13"/>
      <c r="Q32" s="14" t="s">
        <v>29</v>
      </c>
    </row>
    <row r="33" spans="13:17" ht="12.75" x14ac:dyDescent="0.2">
      <c r="M33" s="18" t="s">
        <v>30</v>
      </c>
      <c r="N33" s="19"/>
      <c r="O33" s="19"/>
      <c r="P33" s="19"/>
      <c r="Q33" s="20" t="s">
        <v>31</v>
      </c>
    </row>
    <row r="34" spans="13:17" ht="12.75" x14ac:dyDescent="0.2">
      <c r="M34" s="15" t="s">
        <v>32</v>
      </c>
      <c r="N34" s="13"/>
      <c r="O34" s="13"/>
      <c r="P34" s="13"/>
      <c r="Q34" s="21" t="e">
        <f>O28</f>
        <v>#REF!</v>
      </c>
    </row>
    <row r="35" spans="13:17" ht="12.75" x14ac:dyDescent="0.2">
      <c r="M35" s="15" t="s">
        <v>33</v>
      </c>
      <c r="N35" s="13"/>
      <c r="O35" s="13"/>
      <c r="P35" s="13"/>
      <c r="Q35" s="21" t="e">
        <f>N28</f>
        <v>#REF!</v>
      </c>
    </row>
    <row r="36" spans="13:17" ht="12.75" x14ac:dyDescent="0.2">
      <c r="M36" s="15" t="s">
        <v>34</v>
      </c>
      <c r="N36" s="13"/>
      <c r="O36" s="13"/>
      <c r="P36" s="13"/>
      <c r="Q36" s="21">
        <v>0</v>
      </c>
    </row>
    <row r="37" spans="13:17" ht="12.75" x14ac:dyDescent="0.2">
      <c r="M37" s="18" t="s">
        <v>35</v>
      </c>
      <c r="N37" s="19"/>
      <c r="O37" s="19"/>
      <c r="P37" s="19"/>
      <c r="Q37" s="23" t="e">
        <f>Q34+Q35+Q36</f>
        <v>#REF!</v>
      </c>
    </row>
    <row r="38" spans="13:17" ht="12.75" x14ac:dyDescent="0.2">
      <c r="M38" s="18" t="s">
        <v>36</v>
      </c>
      <c r="N38" s="19"/>
      <c r="O38" s="19"/>
      <c r="P38" s="19"/>
      <c r="Q38" s="23" t="e">
        <f>Q28</f>
        <v>#REF!</v>
      </c>
    </row>
    <row r="39" spans="13:17" ht="15" x14ac:dyDescent="0.25">
      <c r="M39" s="12" t="s">
        <v>37</v>
      </c>
      <c r="N39" s="13"/>
      <c r="O39" s="13"/>
      <c r="P39" s="13"/>
      <c r="Q39" s="24" t="s">
        <v>29</v>
      </c>
    </row>
    <row r="40" spans="13:17" ht="12.75" x14ac:dyDescent="0.2">
      <c r="M40" s="18" t="s">
        <v>38</v>
      </c>
      <c r="N40" s="19"/>
      <c r="O40" s="19"/>
      <c r="P40" s="19"/>
      <c r="Q40" s="23" t="s">
        <v>31</v>
      </c>
    </row>
    <row r="41" spans="13:17" ht="12.75" x14ac:dyDescent="0.2">
      <c r="M41" s="15" t="s">
        <v>39</v>
      </c>
      <c r="N41" s="13"/>
      <c r="O41" s="13"/>
      <c r="P41" s="13"/>
      <c r="Q41" s="21">
        <v>0</v>
      </c>
    </row>
    <row r="42" spans="13:17" ht="12.75" x14ac:dyDescent="0.2">
      <c r="M42" s="15" t="s">
        <v>40</v>
      </c>
      <c r="N42" s="13"/>
      <c r="O42" s="13"/>
      <c r="P42" s="13"/>
      <c r="Q42" s="21">
        <v>0</v>
      </c>
    </row>
    <row r="43" spans="13:17" ht="12.75" x14ac:dyDescent="0.2">
      <c r="M43" s="15" t="s">
        <v>41</v>
      </c>
      <c r="N43" s="13"/>
      <c r="O43" s="13"/>
      <c r="P43" s="13"/>
      <c r="Q43" s="21">
        <v>0</v>
      </c>
    </row>
    <row r="44" spans="13:17" ht="12.75" x14ac:dyDescent="0.2">
      <c r="M44" s="15" t="s">
        <v>42</v>
      </c>
      <c r="N44" s="13"/>
      <c r="O44" s="13"/>
      <c r="P44" s="13"/>
      <c r="Q44" s="21">
        <v>0</v>
      </c>
    </row>
    <row r="45" spans="13:17" ht="12.75" x14ac:dyDescent="0.2">
      <c r="M45" s="18" t="s">
        <v>43</v>
      </c>
      <c r="N45" s="19"/>
      <c r="O45" s="19"/>
      <c r="P45" s="19"/>
      <c r="Q45" s="23">
        <v>0</v>
      </c>
    </row>
    <row r="46" spans="13:17" ht="12.75" x14ac:dyDescent="0.2">
      <c r="M46" s="15" t="s">
        <v>44</v>
      </c>
      <c r="N46" s="13"/>
      <c r="O46" s="13"/>
      <c r="P46" s="13"/>
      <c r="Q46" s="21">
        <v>0</v>
      </c>
    </row>
    <row r="47" spans="13:17" ht="12.75" x14ac:dyDescent="0.2">
      <c r="M47" s="18" t="s">
        <v>45</v>
      </c>
      <c r="N47" s="19"/>
      <c r="O47" s="19"/>
      <c r="P47" s="19"/>
      <c r="Q47" s="23">
        <v>0</v>
      </c>
    </row>
    <row r="48" spans="13:17" ht="12.75" x14ac:dyDescent="0.2">
      <c r="M48" s="18" t="s">
        <v>46</v>
      </c>
      <c r="N48" s="19"/>
      <c r="O48" s="19"/>
      <c r="P48" s="19"/>
      <c r="Q48" s="23" t="s">
        <v>29</v>
      </c>
    </row>
    <row r="49" spans="13:17" ht="12.75" x14ac:dyDescent="0.2">
      <c r="M49" s="18" t="s">
        <v>47</v>
      </c>
      <c r="N49" s="19"/>
      <c r="O49" s="19"/>
      <c r="P49" s="19"/>
      <c r="Q49" s="23">
        <v>0</v>
      </c>
    </row>
    <row r="50" spans="13:17" ht="12.75" x14ac:dyDescent="0.2">
      <c r="M50" s="15" t="s">
        <v>48</v>
      </c>
      <c r="N50" s="13"/>
      <c r="O50" s="13"/>
      <c r="P50" s="13"/>
      <c r="Q50" s="21">
        <v>0</v>
      </c>
    </row>
    <row r="51" spans="13:17" ht="12.75" x14ac:dyDescent="0.2">
      <c r="M51" s="15" t="s">
        <v>49</v>
      </c>
      <c r="N51" s="13"/>
      <c r="O51" s="13"/>
      <c r="P51" s="13"/>
      <c r="Q51" s="21">
        <v>0</v>
      </c>
    </row>
    <row r="52" spans="13:17" ht="12.75" x14ac:dyDescent="0.2">
      <c r="M52" s="15" t="s">
        <v>50</v>
      </c>
      <c r="N52" s="13"/>
      <c r="O52" s="13"/>
      <c r="P52" s="13"/>
      <c r="Q52" s="21">
        <v>0</v>
      </c>
    </row>
    <row r="53" spans="13:17" ht="12.75" x14ac:dyDescent="0.2">
      <c r="M53" s="17" t="s">
        <v>51</v>
      </c>
      <c r="N53" s="13"/>
      <c r="O53" s="13"/>
      <c r="P53" s="13"/>
      <c r="Q53" s="25">
        <v>0</v>
      </c>
    </row>
    <row r="54" spans="13:17" ht="12.75" x14ac:dyDescent="0.2">
      <c r="M54" s="16" t="s">
        <v>52</v>
      </c>
      <c r="N54" s="13"/>
      <c r="O54" s="13"/>
      <c r="P54" s="13"/>
      <c r="Q54" s="22">
        <v>0</v>
      </c>
    </row>
    <row r="55" spans="13:17" ht="12.75" x14ac:dyDescent="0.2">
      <c r="M55" s="15" t="s">
        <v>53</v>
      </c>
      <c r="N55" s="13"/>
      <c r="O55" s="13"/>
      <c r="P55" s="13"/>
      <c r="Q55" s="21">
        <v>0</v>
      </c>
    </row>
    <row r="56" spans="13:17" ht="12.75" x14ac:dyDescent="0.2">
      <c r="M56" s="15" t="s">
        <v>54</v>
      </c>
      <c r="N56" s="13"/>
      <c r="O56" s="13"/>
      <c r="P56" s="13"/>
      <c r="Q56" s="21">
        <v>0</v>
      </c>
    </row>
    <row r="57" spans="13:17" ht="12.75" x14ac:dyDescent="0.2">
      <c r="M57" s="18" t="s">
        <v>55</v>
      </c>
      <c r="N57" s="19"/>
      <c r="O57" s="19"/>
      <c r="P57" s="19"/>
      <c r="Q57" s="23">
        <v>0</v>
      </c>
    </row>
  </sheetData>
  <mergeCells count="6">
    <mergeCell ref="O10:Q10"/>
    <mergeCell ref="B2:G2"/>
    <mergeCell ref="B3:G3"/>
    <mergeCell ref="B4:G4"/>
    <mergeCell ref="B6:G6"/>
    <mergeCell ref="B7:G7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6A44-FB61-4C94-AC7A-1B1FBEBC36DE}">
  <dimension ref="A1:Q4"/>
  <sheetViews>
    <sheetView topLeftCell="A2" zoomScale="77" zoomScaleNormal="77" workbookViewId="0">
      <selection activeCell="D7" sqref="D7"/>
    </sheetView>
  </sheetViews>
  <sheetFormatPr baseColWidth="10" defaultColWidth="9.140625" defaultRowHeight="11.25" x14ac:dyDescent="0.2"/>
  <cols>
    <col min="1" max="1" width="12" style="8" customWidth="1"/>
    <col min="2" max="2" width="35" style="8" customWidth="1"/>
    <col min="3" max="3" width="15" style="8" customWidth="1"/>
    <col min="4" max="6" width="12" style="8" customWidth="1"/>
    <col min="7" max="9" width="10" style="8" customWidth="1"/>
    <col min="10" max="11" width="12" style="8" customWidth="1"/>
    <col min="12" max="12" width="15" style="8" customWidth="1"/>
    <col min="13" max="13" width="18" style="8" customWidth="1"/>
    <col min="14" max="15" width="15" style="8" customWidth="1"/>
    <col min="16" max="16" width="10" style="8" customWidth="1"/>
    <col min="17" max="17" width="15" style="8" customWidth="1"/>
    <col min="18" max="16384" width="9.140625" style="8"/>
  </cols>
  <sheetData>
    <row r="1" spans="1:17" ht="22.5" x14ac:dyDescent="0.2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</row>
    <row r="2" spans="1:17" s="29" customFormat="1" x14ac:dyDescent="0.2">
      <c r="A2" s="26">
        <v>46296</v>
      </c>
      <c r="B2" s="27" t="s">
        <v>57</v>
      </c>
      <c r="C2" s="27" t="s">
        <v>56</v>
      </c>
      <c r="D2" s="30">
        <v>1</v>
      </c>
      <c r="E2" s="30">
        <v>1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0</v>
      </c>
      <c r="M2" s="28">
        <f>N2+O2+Q2</f>
        <v>42400</v>
      </c>
      <c r="N2" s="28">
        <v>25000</v>
      </c>
      <c r="O2" s="28">
        <v>15000</v>
      </c>
      <c r="P2" s="32">
        <v>16</v>
      </c>
      <c r="Q2" s="28">
        <f>O2*(P2/100)</f>
        <v>2400</v>
      </c>
    </row>
    <row r="3" spans="1:17" s="29" customFormat="1" x14ac:dyDescent="0.2">
      <c r="A3" s="26">
        <v>46297</v>
      </c>
      <c r="B3" s="27" t="s">
        <v>57</v>
      </c>
      <c r="C3" s="27" t="s">
        <v>56</v>
      </c>
      <c r="D3" s="30">
        <v>2</v>
      </c>
      <c r="E3" s="30">
        <v>2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28">
        <f>N3+O3+Q3</f>
        <v>42400</v>
      </c>
      <c r="N3" s="28">
        <v>25000</v>
      </c>
      <c r="O3" s="28">
        <v>15000</v>
      </c>
      <c r="P3" s="32">
        <v>16</v>
      </c>
      <c r="Q3" s="28">
        <f>O3*(P3/100)</f>
        <v>2400</v>
      </c>
    </row>
    <row r="4" spans="1:17" s="29" customFormat="1" x14ac:dyDescent="0.2">
      <c r="A4" s="26">
        <v>46298</v>
      </c>
      <c r="B4" s="27" t="s">
        <v>57</v>
      </c>
      <c r="C4" s="27" t="s">
        <v>56</v>
      </c>
      <c r="D4" s="30">
        <v>3</v>
      </c>
      <c r="E4" s="30">
        <v>3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28">
        <f>N4+O4+Q4</f>
        <v>42400</v>
      </c>
      <c r="N4" s="28">
        <v>25000</v>
      </c>
      <c r="O4" s="28">
        <v>15000</v>
      </c>
      <c r="P4" s="32">
        <v>16</v>
      </c>
      <c r="Q4" s="28">
        <f>O4*(P4/100)</f>
        <v>2400</v>
      </c>
    </row>
  </sheetData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Libro de Ventas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Rodriguez Colmenares</cp:lastModifiedBy>
  <dcterms:created xsi:type="dcterms:W3CDTF">2026-04-30T13:39:10Z</dcterms:created>
  <dcterms:modified xsi:type="dcterms:W3CDTF">2026-05-02T22:52:16Z</dcterms:modified>
</cp:coreProperties>
</file>