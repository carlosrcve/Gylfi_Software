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"/>
    </mc:Choice>
  </mc:AlternateContent>
  <xr:revisionPtr revIDLastSave="0" documentId="13_ncr:1_{390C192F-0350-49AC-84A3-9747208D2633}" xr6:coauthVersionLast="47" xr6:coauthVersionMax="47" xr10:uidLastSave="{00000000-0000-0000-0000-000000000000}"/>
  <bookViews>
    <workbookView xWindow="-120" yWindow="-120" windowWidth="20730" windowHeight="11160" xr2:uid="{B811DCE1-C6D5-4BE1-A725-50EB07801725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5" l="1"/>
  <c r="G3" i="5" s="1"/>
  <c r="K4" i="5"/>
  <c r="G4" i="5" s="1"/>
  <c r="K5" i="5"/>
  <c r="G5" i="5" s="1"/>
  <c r="K6" i="5"/>
  <c r="G6" i="5" s="1"/>
  <c r="K7" i="5"/>
  <c r="G7" i="5" s="1"/>
  <c r="K8" i="5"/>
  <c r="G8" i="5" s="1"/>
  <c r="K9" i="5"/>
  <c r="G9" i="5" s="1"/>
  <c r="K10" i="5"/>
  <c r="G10" i="5" s="1"/>
  <c r="K11" i="5"/>
  <c r="G11" i="5" s="1"/>
  <c r="K12" i="5"/>
  <c r="G12" i="5" s="1"/>
  <c r="K13" i="5"/>
  <c r="G13" i="5" s="1"/>
  <c r="K14" i="5"/>
  <c r="G14" i="5" s="1"/>
  <c r="K15" i="5"/>
  <c r="G15" i="5" s="1"/>
  <c r="K16" i="5"/>
  <c r="G16" i="5" s="1"/>
  <c r="K17" i="5"/>
  <c r="G17" i="5" s="1"/>
  <c r="K18" i="5"/>
  <c r="G18" i="5" s="1"/>
  <c r="K19" i="5"/>
  <c r="G19" i="5" s="1"/>
  <c r="K20" i="5"/>
  <c r="G20" i="5" s="1"/>
  <c r="K21" i="5"/>
  <c r="G21" i="5" s="1"/>
  <c r="K22" i="5"/>
  <c r="G22" i="5" s="1"/>
  <c r="K23" i="5"/>
  <c r="G23" i="5" s="1"/>
  <c r="K24" i="5"/>
  <c r="G24" i="5" s="1"/>
  <c r="K25" i="5"/>
  <c r="G25" i="5" s="1"/>
  <c r="K26" i="5"/>
  <c r="G26" i="5" s="1"/>
  <c r="K27" i="5"/>
  <c r="G27" i="5" s="1"/>
  <c r="K28" i="5"/>
  <c r="G28" i="5" s="1"/>
  <c r="K29" i="5"/>
  <c r="G29" i="5" s="1"/>
  <c r="K30" i="5"/>
  <c r="G30" i="5" s="1"/>
  <c r="K2" i="5"/>
  <c r="G2" i="5" l="1"/>
</calcChain>
</file>

<file path=xl/sharedStrings.xml><?xml version="1.0" encoding="utf-8"?>
<sst xmlns="http://schemas.openxmlformats.org/spreadsheetml/2006/main" count="69" uniqueCount="41">
  <si>
    <t>Tipo de Documento</t>
  </si>
  <si>
    <t>Número de Documento</t>
  </si>
  <si>
    <t>Número de Control</t>
  </si>
  <si>
    <t>Nombre o Razón Social</t>
  </si>
  <si>
    <t>R.I.F.</t>
  </si>
  <si>
    <t>Total Compras</t>
  </si>
  <si>
    <t>Compras Exentas</t>
  </si>
  <si>
    <t>Base Imponible</t>
  </si>
  <si>
    <t>Fecha de 
Operación</t>
  </si>
  <si>
    <t>Credito Fiscales</t>
  </si>
  <si>
    <t>Alicuota
 (%)</t>
  </si>
  <si>
    <t>Carlos Jose Rodrguez Colmenares</t>
  </si>
  <si>
    <t>V149899452</t>
  </si>
  <si>
    <t>V149899453</t>
  </si>
  <si>
    <t>V149899454</t>
  </si>
  <si>
    <t>V149899455</t>
  </si>
  <si>
    <t>V149899456</t>
  </si>
  <si>
    <t>V149899457</t>
  </si>
  <si>
    <t>V149899458</t>
  </si>
  <si>
    <t>V149899459</t>
  </si>
  <si>
    <t>V149899460</t>
  </si>
  <si>
    <t>V149899461</t>
  </si>
  <si>
    <t>V149899462</t>
  </si>
  <si>
    <t>V149899463</t>
  </si>
  <si>
    <t>V149899464</t>
  </si>
  <si>
    <t>V149899465</t>
  </si>
  <si>
    <t>V149899466</t>
  </si>
  <si>
    <t>V149899467</t>
  </si>
  <si>
    <t>V149899468</t>
  </si>
  <si>
    <t>V149899469</t>
  </si>
  <si>
    <t>V149899470</t>
  </si>
  <si>
    <t>V149899471</t>
  </si>
  <si>
    <t>V149899472</t>
  </si>
  <si>
    <t>V149899473</t>
  </si>
  <si>
    <t>V149899474</t>
  </si>
  <si>
    <t>V149899475</t>
  </si>
  <si>
    <t>V149899476</t>
  </si>
  <si>
    <t>V149899477</t>
  </si>
  <si>
    <t>V149899478</t>
  </si>
  <si>
    <t>V149899479</t>
  </si>
  <si>
    <t>V149899480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</si>
</sst>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"/>
    <numFmt numFmtId="165" formatCode="00000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43" fontId="2" fillId="2" borderId="1" xfId="1" applyFont="1" applyFill="1" applyBorder="1"/>
    <xf numFmtId="0" fontId="3" fillId="3" borderId="2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CCA-9697-4F3F-BC68-BDA0AF75FBA3}">
  <dimension ref="A1:Q30"/>
  <sheetViews>
    <sheetView tabSelected="1" topLeftCell="A6" zoomScale="120" zoomScaleNormal="120" workbookViewId="0">
      <selection activeCell="I2" sqref="I2:I30"/>
    </sheetView>
  </sheetViews>
  <sheetFormatPr baseColWidth="10" defaultRowHeight="11.25" x14ac:dyDescent="0.2"/>
  <cols>
    <col min="1" max="1" width="14.28515625" style="1" bestFit="1" customWidth="1"/>
    <col min="2" max="2" width="13.7109375" style="1" customWidth="1"/>
    <col min="3" max="3" width="14" style="1" customWidth="1"/>
    <col min="4" max="4" width="11.42578125" style="1"/>
    <col min="5" max="5" width="27.7109375" style="1" bestFit="1" customWidth="1"/>
    <col min="6" max="6" width="11.42578125" style="2"/>
    <col min="7" max="15" width="11.42578125" style="1"/>
    <col min="16" max="16" width="13.7109375" style="1" bestFit="1" customWidth="1"/>
    <col min="17" max="17" width="15.28515625" style="1" customWidth="1"/>
    <col min="18" max="16384" width="11.42578125" style="1"/>
  </cols>
  <sheetData>
    <row r="1" spans="1:17" s="5" customFormat="1" ht="39.75" customHeight="1" x14ac:dyDescent="0.2">
      <c r="A1" s="7" t="s">
        <v>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10</v>
      </c>
      <c r="K1" s="7" t="s">
        <v>9</v>
      </c>
      <c r="L1" s="1"/>
      <c r="M1" s="1"/>
      <c r="N1" s="1"/>
      <c r="O1" s="1"/>
      <c r="P1" s="1"/>
      <c r="Q1" s="1"/>
    </row>
    <row r="2" spans="1:17" ht="10.5" customHeight="1" x14ac:dyDescent="0.2">
      <c r="A2" s="8">
        <v>46235</v>
      </c>
      <c r="B2" s="9">
        <v>1</v>
      </c>
      <c r="C2" s="10">
        <v>5</v>
      </c>
      <c r="D2" s="10">
        <v>5</v>
      </c>
      <c r="E2" s="3" t="s">
        <v>11</v>
      </c>
      <c r="F2" s="4" t="s">
        <v>12</v>
      </c>
      <c r="G2" s="6">
        <f>H2+I2+K2+L2+M2+N2+O2</f>
        <v>70900</v>
      </c>
      <c r="H2" s="6">
        <v>10000</v>
      </c>
      <c r="I2" s="6">
        <v>52500</v>
      </c>
      <c r="J2" s="11">
        <v>16</v>
      </c>
      <c r="K2" s="6">
        <f>I2*16/100</f>
        <v>8400</v>
      </c>
    </row>
    <row r="3" spans="1:17" ht="10.5" customHeight="1" x14ac:dyDescent="0.2">
      <c r="A3" s="8">
        <v>46236</v>
      </c>
      <c r="B3" s="9">
        <v>2</v>
      </c>
      <c r="C3" s="10">
        <v>6</v>
      </c>
      <c r="D3" s="10">
        <v>6</v>
      </c>
      <c r="E3" s="3" t="s">
        <v>11</v>
      </c>
      <c r="F3" s="4" t="s">
        <v>13</v>
      </c>
      <c r="G3" s="6">
        <f t="shared" ref="G3:G30" si="0">H3+I3+K3+L3+M3+N3+O3</f>
        <v>19282.16</v>
      </c>
      <c r="H3" s="6">
        <v>10001</v>
      </c>
      <c r="I3" s="6">
        <v>8001</v>
      </c>
      <c r="J3" s="11">
        <v>17</v>
      </c>
      <c r="K3" s="6">
        <f t="shared" ref="K3:K30" si="1">I3*16/100</f>
        <v>1280.1600000000001</v>
      </c>
    </row>
    <row r="4" spans="1:17" ht="10.5" customHeight="1" x14ac:dyDescent="0.2">
      <c r="A4" s="8">
        <v>46237</v>
      </c>
      <c r="B4" s="9">
        <v>3</v>
      </c>
      <c r="C4" s="10">
        <v>7</v>
      </c>
      <c r="D4" s="10">
        <v>7</v>
      </c>
      <c r="E4" s="3" t="s">
        <v>11</v>
      </c>
      <c r="F4" s="4" t="s">
        <v>14</v>
      </c>
      <c r="G4" s="6">
        <f t="shared" si="0"/>
        <v>19284.32</v>
      </c>
      <c r="H4" s="6">
        <v>10002</v>
      </c>
      <c r="I4" s="6">
        <v>8002</v>
      </c>
      <c r="J4" s="11">
        <v>18</v>
      </c>
      <c r="K4" s="6">
        <f t="shared" si="1"/>
        <v>1280.32</v>
      </c>
    </row>
    <row r="5" spans="1:17" ht="10.5" customHeight="1" x14ac:dyDescent="0.2">
      <c r="A5" s="8">
        <v>46238</v>
      </c>
      <c r="B5" s="9">
        <v>4</v>
      </c>
      <c r="C5" s="10">
        <v>8</v>
      </c>
      <c r="D5" s="10">
        <v>8</v>
      </c>
      <c r="E5" s="3" t="s">
        <v>11</v>
      </c>
      <c r="F5" s="4" t="s">
        <v>15</v>
      </c>
      <c r="G5" s="6">
        <f t="shared" si="0"/>
        <v>19286.48</v>
      </c>
      <c r="H5" s="6">
        <v>10003</v>
      </c>
      <c r="I5" s="6">
        <v>8003</v>
      </c>
      <c r="J5" s="11">
        <v>19</v>
      </c>
      <c r="K5" s="6">
        <f t="shared" si="1"/>
        <v>1280.48</v>
      </c>
    </row>
    <row r="6" spans="1:17" ht="10.5" customHeight="1" x14ac:dyDescent="0.2">
      <c r="A6" s="8">
        <v>46239</v>
      </c>
      <c r="B6" s="9">
        <v>5</v>
      </c>
      <c r="C6" s="10">
        <v>9</v>
      </c>
      <c r="D6" s="10">
        <v>9</v>
      </c>
      <c r="E6" s="3" t="s">
        <v>11</v>
      </c>
      <c r="F6" s="4" t="s">
        <v>16</v>
      </c>
      <c r="G6" s="6">
        <f t="shared" si="0"/>
        <v>19288.64</v>
      </c>
      <c r="H6" s="6">
        <v>10004</v>
      </c>
      <c r="I6" s="6">
        <v>8004</v>
      </c>
      <c r="J6" s="11">
        <v>20</v>
      </c>
      <c r="K6" s="6">
        <f t="shared" si="1"/>
        <v>1280.6400000000001</v>
      </c>
    </row>
    <row r="7" spans="1:17" ht="10.5" customHeight="1" x14ac:dyDescent="0.2">
      <c r="A7" s="8">
        <v>46240</v>
      </c>
      <c r="B7" s="9">
        <v>6</v>
      </c>
      <c r="C7" s="10">
        <v>10</v>
      </c>
      <c r="D7" s="10">
        <v>10</v>
      </c>
      <c r="E7" s="3" t="s">
        <v>11</v>
      </c>
      <c r="F7" s="4" t="s">
        <v>17</v>
      </c>
      <c r="G7" s="6">
        <f t="shared" si="0"/>
        <v>19290.8</v>
      </c>
      <c r="H7" s="6">
        <v>10005</v>
      </c>
      <c r="I7" s="6">
        <v>8005</v>
      </c>
      <c r="J7" s="11">
        <v>21</v>
      </c>
      <c r="K7" s="6">
        <f t="shared" si="1"/>
        <v>1280.8</v>
      </c>
    </row>
    <row r="8" spans="1:17" ht="10.5" customHeight="1" x14ac:dyDescent="0.2">
      <c r="A8" s="8">
        <v>46241</v>
      </c>
      <c r="B8" s="9">
        <v>7</v>
      </c>
      <c r="C8" s="10">
        <v>11</v>
      </c>
      <c r="D8" s="10">
        <v>11</v>
      </c>
      <c r="E8" s="3" t="s">
        <v>11</v>
      </c>
      <c r="F8" s="4" t="s">
        <v>18</v>
      </c>
      <c r="G8" s="6">
        <f t="shared" si="0"/>
        <v>19292.96</v>
      </c>
      <c r="H8" s="6">
        <v>10006</v>
      </c>
      <c r="I8" s="6">
        <v>8006</v>
      </c>
      <c r="J8" s="11">
        <v>22</v>
      </c>
      <c r="K8" s="6">
        <f t="shared" si="1"/>
        <v>1280.96</v>
      </c>
    </row>
    <row r="9" spans="1:17" ht="10.5" customHeight="1" x14ac:dyDescent="0.2">
      <c r="A9" s="8">
        <v>46242</v>
      </c>
      <c r="B9" s="9">
        <v>8</v>
      </c>
      <c r="C9" s="10">
        <v>12</v>
      </c>
      <c r="D9" s="10">
        <v>12</v>
      </c>
      <c r="E9" s="3" t="s">
        <v>11</v>
      </c>
      <c r="F9" s="4" t="s">
        <v>19</v>
      </c>
      <c r="G9" s="6">
        <f t="shared" si="0"/>
        <v>19295.12</v>
      </c>
      <c r="H9" s="6">
        <v>10007</v>
      </c>
      <c r="I9" s="6">
        <v>8007</v>
      </c>
      <c r="J9" s="11">
        <v>23</v>
      </c>
      <c r="K9" s="6">
        <f t="shared" si="1"/>
        <v>1281.1199999999999</v>
      </c>
    </row>
    <row r="10" spans="1:17" ht="10.5" customHeight="1" x14ac:dyDescent="0.2">
      <c r="A10" s="8">
        <v>46243</v>
      </c>
      <c r="B10" s="9">
        <v>9</v>
      </c>
      <c r="C10" s="10">
        <v>13</v>
      </c>
      <c r="D10" s="10">
        <v>13</v>
      </c>
      <c r="E10" s="3" t="s">
        <v>11</v>
      </c>
      <c r="F10" s="4" t="s">
        <v>20</v>
      </c>
      <c r="G10" s="6">
        <f t="shared" si="0"/>
        <v>19297.28</v>
      </c>
      <c r="H10" s="6">
        <v>10008</v>
      </c>
      <c r="I10" s="6">
        <v>8008</v>
      </c>
      <c r="J10" s="11">
        <v>24</v>
      </c>
      <c r="K10" s="6">
        <f t="shared" si="1"/>
        <v>1281.28</v>
      </c>
    </row>
    <row r="11" spans="1:17" ht="10.5" customHeight="1" x14ac:dyDescent="0.2">
      <c r="A11" s="8">
        <v>46244</v>
      </c>
      <c r="B11" s="9">
        <v>10</v>
      </c>
      <c r="C11" s="10">
        <v>14</v>
      </c>
      <c r="D11" s="10">
        <v>14</v>
      </c>
      <c r="E11" s="3" t="s">
        <v>11</v>
      </c>
      <c r="F11" s="4" t="s">
        <v>21</v>
      </c>
      <c r="G11" s="6">
        <f t="shared" si="0"/>
        <v>19299.439999999999</v>
      </c>
      <c r="H11" s="6">
        <v>10009</v>
      </c>
      <c r="I11" s="6">
        <v>8009</v>
      </c>
      <c r="J11" s="11">
        <v>25</v>
      </c>
      <c r="K11" s="6">
        <f t="shared" si="1"/>
        <v>1281.44</v>
      </c>
    </row>
    <row r="12" spans="1:17" ht="10.5" customHeight="1" x14ac:dyDescent="0.2">
      <c r="A12" s="8">
        <v>46245</v>
      </c>
      <c r="B12" s="9">
        <v>11</v>
      </c>
      <c r="C12" s="10">
        <v>15</v>
      </c>
      <c r="D12" s="10">
        <v>15</v>
      </c>
      <c r="E12" s="3" t="s">
        <v>11</v>
      </c>
      <c r="F12" s="4" t="s">
        <v>22</v>
      </c>
      <c r="G12" s="6">
        <f t="shared" si="0"/>
        <v>19301.599999999999</v>
      </c>
      <c r="H12" s="6">
        <v>10010</v>
      </c>
      <c r="I12" s="6">
        <v>8010</v>
      </c>
      <c r="J12" s="11">
        <v>26</v>
      </c>
      <c r="K12" s="6">
        <f t="shared" si="1"/>
        <v>1281.5999999999999</v>
      </c>
    </row>
    <row r="13" spans="1:17" ht="10.5" customHeight="1" x14ac:dyDescent="0.2">
      <c r="A13" s="8">
        <v>46246</v>
      </c>
      <c r="B13" s="9">
        <v>12</v>
      </c>
      <c r="C13" s="10">
        <v>16</v>
      </c>
      <c r="D13" s="10">
        <v>16</v>
      </c>
      <c r="E13" s="3" t="s">
        <v>11</v>
      </c>
      <c r="F13" s="4" t="s">
        <v>23</v>
      </c>
      <c r="G13" s="6">
        <f t="shared" si="0"/>
        <v>19303.759999999998</v>
      </c>
      <c r="H13" s="6">
        <v>10011</v>
      </c>
      <c r="I13" s="6">
        <v>8011</v>
      </c>
      <c r="J13" s="11">
        <v>27</v>
      </c>
      <c r="K13" s="6">
        <f t="shared" si="1"/>
        <v>1281.76</v>
      </c>
    </row>
    <row r="14" spans="1:17" ht="10.5" customHeight="1" x14ac:dyDescent="0.2">
      <c r="A14" s="8">
        <v>46247</v>
      </c>
      <c r="B14" s="9">
        <v>13</v>
      </c>
      <c r="C14" s="10">
        <v>17</v>
      </c>
      <c r="D14" s="10">
        <v>17</v>
      </c>
      <c r="E14" s="3" t="s">
        <v>11</v>
      </c>
      <c r="F14" s="4" t="s">
        <v>24</v>
      </c>
      <c r="G14" s="6">
        <f t="shared" si="0"/>
        <v>19305.919999999998</v>
      </c>
      <c r="H14" s="6">
        <v>10012</v>
      </c>
      <c r="I14" s="6">
        <v>8012</v>
      </c>
      <c r="J14" s="11">
        <v>28</v>
      </c>
      <c r="K14" s="6">
        <f t="shared" si="1"/>
        <v>1281.92</v>
      </c>
    </row>
    <row r="15" spans="1:17" ht="10.5" customHeight="1" x14ac:dyDescent="0.2">
      <c r="A15" s="8">
        <v>46248</v>
      </c>
      <c r="B15" s="9">
        <v>14</v>
      </c>
      <c r="C15" s="10">
        <v>18</v>
      </c>
      <c r="D15" s="10">
        <v>18</v>
      </c>
      <c r="E15" s="3" t="s">
        <v>11</v>
      </c>
      <c r="F15" s="4" t="s">
        <v>25</v>
      </c>
      <c r="G15" s="6">
        <f t="shared" si="0"/>
        <v>19308.080000000002</v>
      </c>
      <c r="H15" s="6">
        <v>10013</v>
      </c>
      <c r="I15" s="6">
        <v>8013</v>
      </c>
      <c r="J15" s="11">
        <v>29</v>
      </c>
      <c r="K15" s="6">
        <f t="shared" si="1"/>
        <v>1282.08</v>
      </c>
    </row>
    <row r="16" spans="1:17" ht="10.5" customHeight="1" x14ac:dyDescent="0.2">
      <c r="A16" s="8">
        <v>46249</v>
      </c>
      <c r="B16" s="9">
        <v>15</v>
      </c>
      <c r="C16" s="10">
        <v>19</v>
      </c>
      <c r="D16" s="10">
        <v>19</v>
      </c>
      <c r="E16" s="3" t="s">
        <v>11</v>
      </c>
      <c r="F16" s="4" t="s">
        <v>26</v>
      </c>
      <c r="G16" s="6">
        <f t="shared" si="0"/>
        <v>19310.240000000002</v>
      </c>
      <c r="H16" s="6">
        <v>10014</v>
      </c>
      <c r="I16" s="6">
        <v>8014</v>
      </c>
      <c r="J16" s="11">
        <v>30</v>
      </c>
      <c r="K16" s="6">
        <f t="shared" si="1"/>
        <v>1282.24</v>
      </c>
    </row>
    <row r="17" spans="1:11" ht="10.5" customHeight="1" x14ac:dyDescent="0.2">
      <c r="A17" s="8">
        <v>46250</v>
      </c>
      <c r="B17" s="9">
        <v>16</v>
      </c>
      <c r="C17" s="10">
        <v>20</v>
      </c>
      <c r="D17" s="10">
        <v>20</v>
      </c>
      <c r="E17" s="3" t="s">
        <v>11</v>
      </c>
      <c r="F17" s="4" t="s">
        <v>27</v>
      </c>
      <c r="G17" s="6">
        <f t="shared" si="0"/>
        <v>19312.400000000001</v>
      </c>
      <c r="H17" s="6">
        <v>10015</v>
      </c>
      <c r="I17" s="6">
        <v>8015</v>
      </c>
      <c r="J17" s="11">
        <v>31</v>
      </c>
      <c r="K17" s="6">
        <f t="shared" si="1"/>
        <v>1282.4000000000001</v>
      </c>
    </row>
    <row r="18" spans="1:11" ht="10.5" customHeight="1" x14ac:dyDescent="0.2">
      <c r="A18" s="8">
        <v>46251</v>
      </c>
      <c r="B18" s="9">
        <v>17</v>
      </c>
      <c r="C18" s="10">
        <v>21</v>
      </c>
      <c r="D18" s="10">
        <v>21</v>
      </c>
      <c r="E18" s="3" t="s">
        <v>11</v>
      </c>
      <c r="F18" s="4" t="s">
        <v>28</v>
      </c>
      <c r="G18" s="6">
        <f t="shared" si="0"/>
        <v>19314.560000000001</v>
      </c>
      <c r="H18" s="6">
        <v>10016</v>
      </c>
      <c r="I18" s="6">
        <v>8016</v>
      </c>
      <c r="J18" s="11">
        <v>32</v>
      </c>
      <c r="K18" s="6">
        <f t="shared" si="1"/>
        <v>1282.56</v>
      </c>
    </row>
    <row r="19" spans="1:11" ht="10.5" customHeight="1" x14ac:dyDescent="0.2">
      <c r="A19" s="8">
        <v>46252</v>
      </c>
      <c r="B19" s="9">
        <v>18</v>
      </c>
      <c r="C19" s="10">
        <v>22</v>
      </c>
      <c r="D19" s="10">
        <v>22</v>
      </c>
      <c r="E19" s="3" t="s">
        <v>11</v>
      </c>
      <c r="F19" s="4" t="s">
        <v>29</v>
      </c>
      <c r="G19" s="6">
        <f t="shared" si="0"/>
        <v>19316.72</v>
      </c>
      <c r="H19" s="6">
        <v>10017</v>
      </c>
      <c r="I19" s="6">
        <v>8017</v>
      </c>
      <c r="J19" s="11">
        <v>33</v>
      </c>
      <c r="K19" s="6">
        <f t="shared" si="1"/>
        <v>1282.72</v>
      </c>
    </row>
    <row r="20" spans="1:11" ht="10.5" customHeight="1" x14ac:dyDescent="0.2">
      <c r="A20" s="8">
        <v>46253</v>
      </c>
      <c r="B20" s="9">
        <v>19</v>
      </c>
      <c r="C20" s="10">
        <v>23</v>
      </c>
      <c r="D20" s="10">
        <v>23</v>
      </c>
      <c r="E20" s="3" t="s">
        <v>11</v>
      </c>
      <c r="F20" s="4" t="s">
        <v>30</v>
      </c>
      <c r="G20" s="6">
        <f t="shared" si="0"/>
        <v>19318.88</v>
      </c>
      <c r="H20" s="6">
        <v>10018</v>
      </c>
      <c r="I20" s="6">
        <v>8018</v>
      </c>
      <c r="J20" s="11">
        <v>34</v>
      </c>
      <c r="K20" s="6">
        <f t="shared" si="1"/>
        <v>1282.8800000000001</v>
      </c>
    </row>
    <row r="21" spans="1:11" ht="10.5" customHeight="1" x14ac:dyDescent="0.2">
      <c r="A21" s="8">
        <v>46254</v>
      </c>
      <c r="B21" s="9">
        <v>20</v>
      </c>
      <c r="C21" s="10">
        <v>24</v>
      </c>
      <c r="D21" s="10">
        <v>24</v>
      </c>
      <c r="E21" s="3" t="s">
        <v>11</v>
      </c>
      <c r="F21" s="4" t="s">
        <v>31</v>
      </c>
      <c r="G21" s="6">
        <f t="shared" si="0"/>
        <v>19321.04</v>
      </c>
      <c r="H21" s="6">
        <v>10019</v>
      </c>
      <c r="I21" s="6">
        <v>8019</v>
      </c>
      <c r="J21" s="11">
        <v>35</v>
      </c>
      <c r="K21" s="6">
        <f t="shared" si="1"/>
        <v>1283.04</v>
      </c>
    </row>
    <row r="22" spans="1:11" ht="10.5" customHeight="1" x14ac:dyDescent="0.2">
      <c r="A22" s="8">
        <v>46255</v>
      </c>
      <c r="B22" s="9">
        <v>21</v>
      </c>
      <c r="C22" s="10">
        <v>25</v>
      </c>
      <c r="D22" s="10">
        <v>25</v>
      </c>
      <c r="E22" s="3" t="s">
        <v>11</v>
      </c>
      <c r="F22" s="4" t="s">
        <v>32</v>
      </c>
      <c r="G22" s="6">
        <f t="shared" si="0"/>
        <v>19323.2</v>
      </c>
      <c r="H22" s="6">
        <v>10020</v>
      </c>
      <c r="I22" s="6">
        <v>8020</v>
      </c>
      <c r="J22" s="11">
        <v>36</v>
      </c>
      <c r="K22" s="6">
        <f t="shared" si="1"/>
        <v>1283.2</v>
      </c>
    </row>
    <row r="23" spans="1:11" ht="10.5" customHeight="1" x14ac:dyDescent="0.2">
      <c r="A23" s="8">
        <v>46256</v>
      </c>
      <c r="B23" s="9">
        <v>22</v>
      </c>
      <c r="C23" s="10">
        <v>26</v>
      </c>
      <c r="D23" s="10">
        <v>26</v>
      </c>
      <c r="E23" s="3" t="s">
        <v>11</v>
      </c>
      <c r="F23" s="4" t="s">
        <v>33</v>
      </c>
      <c r="G23" s="6">
        <f t="shared" si="0"/>
        <v>19325.36</v>
      </c>
      <c r="H23" s="6">
        <v>10021</v>
      </c>
      <c r="I23" s="6">
        <v>8021</v>
      </c>
      <c r="J23" s="11">
        <v>37</v>
      </c>
      <c r="K23" s="6">
        <f t="shared" si="1"/>
        <v>1283.3599999999999</v>
      </c>
    </row>
    <row r="24" spans="1:11" ht="10.5" customHeight="1" x14ac:dyDescent="0.2">
      <c r="A24" s="8">
        <v>46257</v>
      </c>
      <c r="B24" s="9">
        <v>23</v>
      </c>
      <c r="C24" s="10">
        <v>27</v>
      </c>
      <c r="D24" s="10">
        <v>27</v>
      </c>
      <c r="E24" s="3" t="s">
        <v>11</v>
      </c>
      <c r="F24" s="4" t="s">
        <v>34</v>
      </c>
      <c r="G24" s="6">
        <f t="shared" si="0"/>
        <v>19327.52</v>
      </c>
      <c r="H24" s="6">
        <v>10022</v>
      </c>
      <c r="I24" s="6">
        <v>8022</v>
      </c>
      <c r="J24" s="11">
        <v>38</v>
      </c>
      <c r="K24" s="6">
        <f t="shared" si="1"/>
        <v>1283.52</v>
      </c>
    </row>
    <row r="25" spans="1:11" ht="10.5" customHeight="1" x14ac:dyDescent="0.2">
      <c r="A25" s="8">
        <v>46258</v>
      </c>
      <c r="B25" s="9">
        <v>24</v>
      </c>
      <c r="C25" s="10">
        <v>28</v>
      </c>
      <c r="D25" s="10">
        <v>28</v>
      </c>
      <c r="E25" s="3" t="s">
        <v>11</v>
      </c>
      <c r="F25" s="4" t="s">
        <v>35</v>
      </c>
      <c r="G25" s="6">
        <f t="shared" si="0"/>
        <v>19329.68</v>
      </c>
      <c r="H25" s="6">
        <v>10023</v>
      </c>
      <c r="I25" s="6">
        <v>8023</v>
      </c>
      <c r="J25" s="11">
        <v>39</v>
      </c>
      <c r="K25" s="6">
        <f t="shared" si="1"/>
        <v>1283.68</v>
      </c>
    </row>
    <row r="26" spans="1:11" ht="10.5" customHeight="1" x14ac:dyDescent="0.2">
      <c r="A26" s="8">
        <v>46259</v>
      </c>
      <c r="B26" s="9">
        <v>25</v>
      </c>
      <c r="C26" s="10">
        <v>29</v>
      </c>
      <c r="D26" s="10">
        <v>29</v>
      </c>
      <c r="E26" s="3" t="s">
        <v>11</v>
      </c>
      <c r="F26" s="4" t="s">
        <v>36</v>
      </c>
      <c r="G26" s="6">
        <f t="shared" si="0"/>
        <v>19331.84</v>
      </c>
      <c r="H26" s="6">
        <v>10024</v>
      </c>
      <c r="I26" s="6">
        <v>8024</v>
      </c>
      <c r="J26" s="11">
        <v>40</v>
      </c>
      <c r="K26" s="6">
        <f t="shared" si="1"/>
        <v>1283.8399999999999</v>
      </c>
    </row>
    <row r="27" spans="1:11" ht="10.5" customHeight="1" x14ac:dyDescent="0.2">
      <c r="A27" s="8">
        <v>46260</v>
      </c>
      <c r="B27" s="9">
        <v>26</v>
      </c>
      <c r="C27" s="10">
        <v>30</v>
      </c>
      <c r="D27" s="10">
        <v>30</v>
      </c>
      <c r="E27" s="3" t="s">
        <v>11</v>
      </c>
      <c r="F27" s="4" t="s">
        <v>37</v>
      </c>
      <c r="G27" s="6">
        <f t="shared" si="0"/>
        <v>19334</v>
      </c>
      <c r="H27" s="6">
        <v>10025</v>
      </c>
      <c r="I27" s="6">
        <v>8025</v>
      </c>
      <c r="J27" s="11">
        <v>41</v>
      </c>
      <c r="K27" s="6">
        <f t="shared" si="1"/>
        <v>1284</v>
      </c>
    </row>
    <row r="28" spans="1:11" ht="10.5" customHeight="1" x14ac:dyDescent="0.2">
      <c r="A28" s="8">
        <v>46261</v>
      </c>
      <c r="B28" s="9">
        <v>27</v>
      </c>
      <c r="C28" s="10">
        <v>31</v>
      </c>
      <c r="D28" s="10">
        <v>31</v>
      </c>
      <c r="E28" s="3" t="s">
        <v>11</v>
      </c>
      <c r="F28" s="4" t="s">
        <v>38</v>
      </c>
      <c r="G28" s="6">
        <f t="shared" si="0"/>
        <v>19336.16</v>
      </c>
      <c r="H28" s="6">
        <v>10026</v>
      </c>
      <c r="I28" s="6">
        <v>8026</v>
      </c>
      <c r="J28" s="11">
        <v>42</v>
      </c>
      <c r="K28" s="6">
        <f t="shared" si="1"/>
        <v>1284.1600000000001</v>
      </c>
    </row>
    <row r="29" spans="1:11" ht="10.5" customHeight="1" x14ac:dyDescent="0.2">
      <c r="A29" s="8">
        <v>46262</v>
      </c>
      <c r="B29" s="9">
        <v>28</v>
      </c>
      <c r="C29" s="10">
        <v>32</v>
      </c>
      <c r="D29" s="10">
        <v>32</v>
      </c>
      <c r="E29" s="3" t="s">
        <v>11</v>
      </c>
      <c r="F29" s="4" t="s">
        <v>39</v>
      </c>
      <c r="G29" s="6">
        <f t="shared" si="0"/>
        <v>19338.32</v>
      </c>
      <c r="H29" s="6">
        <v>10027</v>
      </c>
      <c r="I29" s="6">
        <v>8027</v>
      </c>
      <c r="J29" s="11">
        <v>43</v>
      </c>
      <c r="K29" s="6">
        <f t="shared" si="1"/>
        <v>1284.32</v>
      </c>
    </row>
    <row r="30" spans="1:11" ht="10.5" customHeight="1" x14ac:dyDescent="0.2">
      <c r="A30" s="8">
        <v>46263</v>
      </c>
      <c r="B30" s="9">
        <v>29</v>
      </c>
      <c r="C30" s="10">
        <v>33</v>
      </c>
      <c r="D30" s="10">
        <v>33</v>
      </c>
      <c r="E30" s="3" t="s">
        <v>11</v>
      </c>
      <c r="F30" s="4" t="s">
        <v>40</v>
      </c>
      <c r="G30" s="6">
        <f t="shared" si="0"/>
        <v>19340.48</v>
      </c>
      <c r="H30" s="6">
        <v>10028</v>
      </c>
      <c r="I30" s="6">
        <v>8028</v>
      </c>
      <c r="J30" s="11">
        <v>44</v>
      </c>
      <c r="K30" s="6">
        <f t="shared" si="1"/>
        <v>1284.48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2026-04-27T12:39:49Z</dcterms:created>
  <dcterms:modified xsi:type="dcterms:W3CDTF">2026-05-04T15:31:20Z</dcterms:modified>
</cp:coreProperties>
</file>