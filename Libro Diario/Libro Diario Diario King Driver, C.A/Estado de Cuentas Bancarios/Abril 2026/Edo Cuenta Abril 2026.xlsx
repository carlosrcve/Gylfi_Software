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 Diario\Libro Diario Diario King Driver, C.A\Estado de Cuentas Bancarios\Abril 2026\"/>
    </mc:Choice>
  </mc:AlternateContent>
  <xr:revisionPtr revIDLastSave="0" documentId="13_ncr:1_{F5028F5D-6D31-4A46-A593-42C9DE04CB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5" r:id="rId1"/>
    <sheet name="Table 1" sheetId="1" r:id="rId2"/>
    <sheet name="Table 2" sheetId="2" r:id="rId3"/>
    <sheet name="Table 3" sheetId="3" r:id="rId4"/>
  </sheets>
  <definedNames>
    <definedName name="_xlnm._FilterDatabase" localSheetId="0" hidden="1">Data!$A$2:$G$333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5" l="1"/>
  <c r="J1" i="5" s="1"/>
  <c r="F1" i="5"/>
  <c r="G4" i="5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68" i="5" s="1"/>
  <c r="G269" i="5" s="1"/>
  <c r="G270" i="5" s="1"/>
  <c r="G271" i="5" s="1"/>
  <c r="G272" i="5" s="1"/>
  <c r="G273" i="5" s="1"/>
  <c r="G274" i="5" s="1"/>
  <c r="G275" i="5" s="1"/>
  <c r="G276" i="5" s="1"/>
  <c r="G277" i="5" s="1"/>
  <c r="G278" i="5" s="1"/>
  <c r="G279" i="5" s="1"/>
  <c r="G280" i="5" s="1"/>
  <c r="G281" i="5" s="1"/>
  <c r="G282" i="5" s="1"/>
  <c r="G283" i="5" s="1"/>
  <c r="G284" i="5" s="1"/>
  <c r="G285" i="5" s="1"/>
  <c r="G286" i="5" s="1"/>
  <c r="G287" i="5" s="1"/>
  <c r="G288" i="5" s="1"/>
  <c r="G289" i="5" s="1"/>
  <c r="G290" i="5" s="1"/>
  <c r="G291" i="5" s="1"/>
  <c r="G292" i="5" s="1"/>
  <c r="G293" i="5" s="1"/>
  <c r="G294" i="5" s="1"/>
  <c r="G295" i="5" s="1"/>
  <c r="G296" i="5" s="1"/>
  <c r="G297" i="5" s="1"/>
  <c r="G298" i="5" s="1"/>
  <c r="G299" i="5" s="1"/>
  <c r="G300" i="5" s="1"/>
  <c r="G301" i="5" s="1"/>
  <c r="G302" i="5" s="1"/>
  <c r="G303" i="5" s="1"/>
  <c r="G304" i="5" s="1"/>
  <c r="G305" i="5" s="1"/>
  <c r="G306" i="5" s="1"/>
  <c r="G307" i="5" s="1"/>
  <c r="G308" i="5" s="1"/>
  <c r="G309" i="5" s="1"/>
  <c r="G310" i="5" s="1"/>
  <c r="G311" i="5" s="1"/>
  <c r="G312" i="5" s="1"/>
  <c r="G313" i="5" s="1"/>
  <c r="G314" i="5" s="1"/>
  <c r="G315" i="5" s="1"/>
  <c r="G316" i="5" s="1"/>
  <c r="G317" i="5" s="1"/>
  <c r="G318" i="5" s="1"/>
  <c r="G319" i="5" s="1"/>
  <c r="G320" i="5" s="1"/>
  <c r="G321" i="5" s="1"/>
  <c r="G322" i="5" s="1"/>
  <c r="G323" i="5" s="1"/>
  <c r="G324" i="5" s="1"/>
  <c r="G325" i="5" s="1"/>
  <c r="G326" i="5" s="1"/>
  <c r="G327" i="5" s="1"/>
  <c r="G328" i="5" s="1"/>
  <c r="G329" i="5" s="1"/>
  <c r="G330" i="5" s="1"/>
  <c r="G331" i="5" s="1"/>
  <c r="G332" i="5" s="1"/>
  <c r="G333" i="5" s="1"/>
</calcChain>
</file>

<file path=xl/sharedStrings.xml><?xml version="1.0" encoding="utf-8"?>
<sst xmlns="http://schemas.openxmlformats.org/spreadsheetml/2006/main" count="1180" uniqueCount="126">
  <si>
    <r>
      <rPr>
        <b/>
        <sz val="10"/>
        <color rgb="FFFFFFFF"/>
        <rFont val="Arial"/>
        <family val="2"/>
      </rPr>
      <t>Referencia</t>
    </r>
  </si>
  <si>
    <r>
      <rPr>
        <b/>
        <sz val="10"/>
        <color rgb="FFFFFFFF"/>
        <rFont val="Arial"/>
        <family val="2"/>
      </rPr>
      <t>Descripción</t>
    </r>
  </si>
  <si>
    <r>
      <rPr>
        <b/>
        <sz val="10"/>
        <color rgb="FFFFFFFF"/>
        <rFont val="Arial"/>
        <family val="2"/>
      </rPr>
      <t>Fecha</t>
    </r>
  </si>
  <si>
    <r>
      <rPr>
        <b/>
        <sz val="10"/>
        <color rgb="FFFFFFFF"/>
        <rFont val="Arial"/>
        <family val="2"/>
      </rPr>
      <t>Débito</t>
    </r>
  </si>
  <si>
    <r>
      <rPr>
        <b/>
        <sz val="10"/>
        <color rgb="FFFFFFFF"/>
        <rFont val="Arial"/>
        <family val="2"/>
      </rPr>
      <t>Crédito</t>
    </r>
  </si>
  <si>
    <r>
      <rPr>
        <b/>
        <sz val="10"/>
        <color rgb="FFFFFFFF"/>
        <rFont val="Arial"/>
        <family val="2"/>
      </rPr>
      <t>Saldo</t>
    </r>
  </si>
  <si>
    <r>
      <rPr>
        <sz val="10"/>
        <color rgb="FF4F4F4F"/>
        <rFont val="Arial MT"/>
        <family val="2"/>
      </rPr>
      <t>SALDO INICIAL</t>
    </r>
  </si>
  <si>
    <r>
      <rPr>
        <sz val="10"/>
        <color rgb="FF4F4F4F"/>
        <rFont val="Arial MT"/>
        <family val="2"/>
      </rPr>
      <t>COM MANTENIMIENTO  DE CUENTA</t>
    </r>
  </si>
  <si>
    <r>
      <rPr>
        <sz val="10"/>
        <color rgb="FF4F4F4F"/>
        <rFont val="Arial MT"/>
        <family val="2"/>
      </rPr>
      <t>ND</t>
    </r>
  </si>
  <si>
    <r>
      <rPr>
        <sz val="10"/>
        <color rgb="FF4F4F4F"/>
        <rFont val="Arial MT"/>
        <family val="2"/>
      </rPr>
      <t>PAGOMOVIL OTROS BANCOS 0105 04243252293</t>
    </r>
  </si>
  <si>
    <r>
      <rPr>
        <sz val="10"/>
        <color rgb="FF4F4F4F"/>
        <rFont val="Arial MT"/>
        <family val="2"/>
      </rPr>
      <t>NC</t>
    </r>
  </si>
  <si>
    <r>
      <rPr>
        <sz val="10"/>
        <color rgb="FF4F4F4F"/>
        <rFont val="Arial MT"/>
        <family val="2"/>
      </rPr>
      <t>COMISION PAGOMOVILBDV</t>
    </r>
  </si>
  <si>
    <r>
      <rPr>
        <sz val="10"/>
        <color rgb="FF4F4F4F"/>
        <rFont val="Arial MT"/>
        <family val="2"/>
      </rPr>
      <t>PAGO A PROVEEDORES  BDV V014744149 LOTE 00428371</t>
    </r>
  </si>
  <si>
    <r>
      <rPr>
        <sz val="10"/>
        <color rgb="FF4F4F4F"/>
        <rFont val="Arial MT"/>
        <family val="2"/>
      </rPr>
      <t>COMISION PAGO A PROVEEDORES</t>
    </r>
  </si>
  <si>
    <r>
      <rPr>
        <sz val="10"/>
        <color rgb="FF4F4F4F"/>
        <rFont val="Arial MT"/>
        <family val="2"/>
      </rPr>
      <t>PAGOMOVIL BDV V028023800 FRANCISCO MADRIZ</t>
    </r>
  </si>
  <si>
    <r>
      <rPr>
        <sz val="10"/>
        <color rgb="FF4F4F4F"/>
        <rFont val="Arial MT"/>
        <family val="2"/>
      </rPr>
      <t>COBRO COMISION PAG MOVIL BDV A</t>
    </r>
  </si>
  <si>
    <r>
      <rPr>
        <sz val="10"/>
        <color rgb="FF4F4F4F"/>
        <rFont val="Arial MT"/>
        <family val="2"/>
      </rPr>
      <t>PAGO A PROVEEDORES  BDV V014744149 LOTE 00428508</t>
    </r>
  </si>
  <si>
    <r>
      <rPr>
        <sz val="10"/>
        <color rgb="FF4F4F4F"/>
        <rFont val="Arial MT"/>
        <family val="2"/>
      </rPr>
      <t>PAGOMOVIL OTROS BANCOS 0191 04141500569</t>
    </r>
  </si>
  <si>
    <r>
      <rPr>
        <sz val="10"/>
        <color rgb="FF4F4F4F"/>
        <rFont val="Arial MT"/>
        <family val="2"/>
      </rPr>
      <t>PAGO A PROVEEDORES  BDV V014744149 LOTE 00428942</t>
    </r>
  </si>
  <si>
    <r>
      <rPr>
        <sz val="10"/>
        <color rgb="FF4F4F4F"/>
        <rFont val="Arial MT"/>
        <family val="2"/>
      </rPr>
      <t>PAGOMOVIL BDV V022764031 JONATHAN APONTE</t>
    </r>
  </si>
  <si>
    <r>
      <rPr>
        <sz val="10"/>
        <color rgb="FF4F4F4F"/>
        <rFont val="Arial MT"/>
        <family val="2"/>
      </rPr>
      <t>PAGO A PROVEEDORES  BDV V014744149 LOTE 00429023</t>
    </r>
  </si>
  <si>
    <r>
      <rPr>
        <sz val="10"/>
        <color rgb="FF4F4F4F"/>
        <rFont val="Arial MT"/>
        <family val="2"/>
      </rPr>
      <t>PAGO A PROVEEDORES  BDV V014744149 LOTE 00429142</t>
    </r>
  </si>
  <si>
    <r>
      <rPr>
        <sz val="10"/>
        <color rgb="FF4F4F4F"/>
        <rFont val="Arial MT"/>
        <family val="2"/>
      </rPr>
      <t>PAGO A PROVEEDORES  BDV V014744149 LOTE 00429257</t>
    </r>
  </si>
  <si>
    <r>
      <rPr>
        <sz val="10"/>
        <color rgb="FF4F4F4F"/>
        <rFont val="Arial MT"/>
        <family val="2"/>
      </rPr>
      <t>PAGOMOVIL OTROS BANCOS 0134 04142254712</t>
    </r>
  </si>
  <si>
    <r>
      <rPr>
        <sz val="10"/>
        <color rgb="FF4F4F4F"/>
        <rFont val="Arial MT"/>
        <family val="2"/>
      </rPr>
      <t>PAGO A PROVEEDORES  BDV V014744149 LOTE 00429714</t>
    </r>
  </si>
  <si>
    <r>
      <rPr>
        <sz val="10"/>
        <color rgb="FF4F4F4F"/>
        <rFont val="Arial MT"/>
        <family val="2"/>
      </rPr>
      <t>PAGO A PROVEEDORES  BDV V014744149 LOTE 00429921</t>
    </r>
  </si>
  <si>
    <r>
      <rPr>
        <sz val="10"/>
        <color rgb="FF4F4F4F"/>
        <rFont val="Arial MT"/>
        <family val="2"/>
      </rPr>
      <t>PAGO A PROVEEDORES  BDV V014744149 LOTE 00430051</t>
    </r>
  </si>
  <si>
    <r>
      <rPr>
        <sz val="10"/>
        <color rgb="FF4F4F4F"/>
        <rFont val="Arial MT"/>
        <family val="2"/>
      </rPr>
      <t>PAGO A PROVEEDORES  BDV V014744149 LOTE 00431470</t>
    </r>
  </si>
  <si>
    <r>
      <rPr>
        <sz val="10"/>
        <color rgb="FF4F4F4F"/>
        <rFont val="Arial MT"/>
        <family val="2"/>
      </rPr>
      <t>PAGO A PROVEEDORES  BDV V014744149 LOTE 00431579</t>
    </r>
  </si>
  <si>
    <r>
      <rPr>
        <sz val="10"/>
        <color rgb="FF4F4F4F"/>
        <rFont val="Arial MT"/>
        <family val="2"/>
      </rPr>
      <t>PAGO A PROVEEDORES  BDV V014744149 LOTE 00431721</t>
    </r>
  </si>
  <si>
    <r>
      <rPr>
        <sz val="10"/>
        <color rgb="FF4F4F4F"/>
        <rFont val="Arial MT"/>
        <family val="2"/>
      </rPr>
      <t>PAGO A PROVEEDORES  BDV V014744149 LOTE 00432248</t>
    </r>
  </si>
  <si>
    <r>
      <rPr>
        <sz val="10"/>
        <color rgb="FF4F4F4F"/>
        <rFont val="Arial MT"/>
        <family val="2"/>
      </rPr>
      <t>PAGO A PROVEEDORES  BDV V014744149 LOTE 00432359</t>
    </r>
  </si>
  <si>
    <r>
      <rPr>
        <sz val="10"/>
        <color rgb="FF4F4F4F"/>
        <rFont val="Arial MT"/>
        <family val="2"/>
      </rPr>
      <t>PAGO A PROVEEDORES  BDV V014744149 LOTE 00432373</t>
    </r>
  </si>
  <si>
    <r>
      <rPr>
        <sz val="10"/>
        <color rgb="FF4F4F4F"/>
        <rFont val="Arial MT"/>
        <family val="2"/>
      </rPr>
      <t>PAGO A PROVEEDORES  BDV V014744149 LOTE 00432401</t>
    </r>
  </si>
  <si>
    <r>
      <rPr>
        <sz val="10"/>
        <color rgb="FF4F4F4F"/>
        <rFont val="Arial MT"/>
        <family val="2"/>
      </rPr>
      <t>PAGO A PROVEEDORES  BDV V014744149 LOTE 00432421</t>
    </r>
  </si>
  <si>
    <r>
      <rPr>
        <sz val="10"/>
        <color rgb="FF4F4F4F"/>
        <rFont val="Arial MT"/>
        <family val="2"/>
      </rPr>
      <t>PAGO A PROVEEDORES  BDV V014744149 LOTE 00433018</t>
    </r>
  </si>
  <si>
    <r>
      <rPr>
        <sz val="10"/>
        <color rgb="FF4F4F4F"/>
        <rFont val="Arial MT"/>
        <family val="2"/>
      </rPr>
      <t>PAGO A PROVEEDORES  BDV V014744149 LOTE 00433284</t>
    </r>
  </si>
  <si>
    <r>
      <rPr>
        <sz val="10"/>
        <color rgb="FF4F4F4F"/>
        <rFont val="Arial MT"/>
        <family val="2"/>
      </rPr>
      <t>PAGO A PROVEEDORES  BDV V014744149 LOTE 00433497</t>
    </r>
  </si>
  <si>
    <r>
      <rPr>
        <sz val="10"/>
        <color rgb="FF4F4F4F"/>
        <rFont val="Arial MT"/>
        <family val="2"/>
      </rPr>
      <t>PAGO A PROVEEDORES  BDV V014744149 LOTE 00434660</t>
    </r>
  </si>
  <si>
    <r>
      <rPr>
        <sz val="10"/>
        <color rgb="FF4F4F4F"/>
        <rFont val="Arial MT"/>
        <family val="2"/>
      </rPr>
      <t>PAGOMOVIL OTROS BANCOS 0105</t>
    </r>
  </si>
  <si>
    <r>
      <rPr>
        <sz val="10"/>
        <color rgb="FF4F4F4F"/>
        <rFont val="Arial MT"/>
        <family val="2"/>
      </rPr>
      <t>PAGO IMPUESTOS  INTERNET</t>
    </r>
  </si>
  <si>
    <r>
      <rPr>
        <sz val="10"/>
        <color rgb="FF4F4F4F"/>
        <rFont val="Arial MT"/>
        <family val="2"/>
      </rPr>
      <t>PAGO A PROVEEDORES  BDV V014744149 LOTE 00435054</t>
    </r>
  </si>
  <si>
    <r>
      <rPr>
        <sz val="10"/>
        <color rgb="FF4F4F4F"/>
        <rFont val="Arial MT"/>
        <family val="2"/>
      </rPr>
      <t>PAGOMOVIL OTROS BANCOS 0191</t>
    </r>
  </si>
  <si>
    <r>
      <rPr>
        <sz val="10"/>
        <color rgb="FF4F4F4F"/>
        <rFont val="Arial MT"/>
        <family val="2"/>
      </rPr>
      <t>PAGO A PROVEEDORES  BDV V014744149 LOTE 00435440</t>
    </r>
  </si>
  <si>
    <r>
      <rPr>
        <sz val="10"/>
        <color rgb="FF4F4F4F"/>
        <rFont val="Arial MT"/>
        <family val="2"/>
      </rPr>
      <t>PAGO A PROVEEDORES  BDV V014744149 LOTE 00435734</t>
    </r>
  </si>
  <si>
    <r>
      <rPr>
        <sz val="10"/>
        <color rgb="FF4F4F4F"/>
        <rFont val="Arial MT"/>
        <family val="2"/>
      </rPr>
      <t>PAGO A PROVEEDORES  BDV V014744149</t>
    </r>
  </si>
  <si>
    <r>
      <rPr>
        <sz val="10"/>
        <color rgb="FF4F4F4F"/>
        <rFont val="Arial MT"/>
        <family val="2"/>
      </rPr>
      <t>LOTE 00436530</t>
    </r>
  </si>
  <si>
    <r>
      <rPr>
        <sz val="10"/>
        <color rgb="FF4F4F4F"/>
        <rFont val="Arial MT"/>
        <family val="2"/>
      </rPr>
      <t>PAGO A PROVEEDORES  BDV 014744149  LOTE 00436720</t>
    </r>
  </si>
  <si>
    <r>
      <rPr>
        <sz val="10"/>
        <color rgb="FF4F4F4F"/>
        <rFont val="Arial MT"/>
        <family val="2"/>
      </rPr>
      <t>PAGO A PROVEEDORES  BDV 014744149  LOTE 00437094</t>
    </r>
  </si>
  <si>
    <r>
      <rPr>
        <sz val="10"/>
        <color rgb="FF4F4F4F"/>
        <rFont val="Arial MT"/>
        <family val="2"/>
      </rPr>
      <t>PAGO A PROVEEDORES  BDV 014744149  LOTE 00437143</t>
    </r>
  </si>
  <si>
    <r>
      <rPr>
        <sz val="10"/>
        <color rgb="FF4F4F4F"/>
        <rFont val="Arial MT"/>
        <family val="2"/>
      </rPr>
      <t>PAGO A PROVEEDORES  BDV 014744149  LOTE 00437989</t>
    </r>
  </si>
  <si>
    <r>
      <rPr>
        <sz val="10"/>
        <color rgb="FF4F4F4F"/>
        <rFont val="Arial MT"/>
        <family val="2"/>
      </rPr>
      <t>PAGO A PROVEEDORES  BDV 014744149  LOTE 00437998</t>
    </r>
  </si>
  <si>
    <r>
      <rPr>
        <sz val="10"/>
        <color rgb="FF4F4F4F"/>
        <rFont val="Arial MT"/>
        <family val="2"/>
      </rPr>
      <t>PAGO A PROVEEDORES  BDV 014744149  LOTE</t>
    </r>
  </si>
  <si>
    <r>
      <rPr>
        <sz val="10"/>
        <color rgb="FF4F4F4F"/>
        <rFont val="Arial MT"/>
        <family val="2"/>
      </rPr>
      <t>PAGO A PROVEEDORES  BDV 014744149  LOTE 00438894</t>
    </r>
  </si>
  <si>
    <r>
      <rPr>
        <sz val="10"/>
        <color rgb="FF4F4F4F"/>
        <rFont val="Arial MT"/>
        <family val="2"/>
      </rPr>
      <t>PAGO A PROVEEDORES  BDV 014744149  LOTE 00438981</t>
    </r>
  </si>
  <si>
    <r>
      <rPr>
        <sz val="10"/>
        <color rgb="FF4F4F4F"/>
        <rFont val="Arial MT"/>
        <family val="2"/>
      </rPr>
      <t>PAGO A PROVEEDORES  BDV 014744149  LOTE 00439140</t>
    </r>
  </si>
  <si>
    <r>
      <rPr>
        <sz val="10"/>
        <color rgb="FF4F4F4F"/>
        <rFont val="Arial MT"/>
        <family val="2"/>
      </rPr>
      <t>PAGO A PROVEEDORES  BDV 014744149  LOTE 00439317</t>
    </r>
  </si>
  <si>
    <r>
      <rPr>
        <sz val="10"/>
        <color rgb="FF4F4F4F"/>
        <rFont val="Arial MT"/>
        <family val="2"/>
      </rPr>
      <t>PAGO A PROVEEDORES  BDV 014744149  LOTE 00439446</t>
    </r>
  </si>
  <si>
    <r>
      <rPr>
        <sz val="10"/>
        <color rgb="FF4F4F4F"/>
        <rFont val="Arial MT"/>
        <family val="2"/>
      </rPr>
      <t>PAGO A PROVEEDORES  BDV 014744149  LOTE 00439501</t>
    </r>
  </si>
  <si>
    <r>
      <rPr>
        <sz val="10"/>
        <color rgb="FF4F4F4F"/>
        <rFont val="Arial MT"/>
        <family val="2"/>
      </rPr>
      <t>PAGO A PROVEEDORES  BDV 014744149  LOTE 00439881</t>
    </r>
  </si>
  <si>
    <r>
      <rPr>
        <sz val="10"/>
        <color rgb="FF4F4F4F"/>
        <rFont val="Arial MT"/>
        <family val="2"/>
      </rPr>
      <t>PAGO A PROVEEDORES  BDV 014744149  LOTE 00440642</t>
    </r>
  </si>
  <si>
    <r>
      <rPr>
        <sz val="10"/>
        <color rgb="FF4F4F4F"/>
        <rFont val="Arial MT"/>
        <family val="2"/>
      </rPr>
      <t>PAGO A PROVEEDORES  BDV 014744149  LOTE 00440697</t>
    </r>
  </si>
  <si>
    <r>
      <rPr>
        <sz val="10"/>
        <color rgb="FF4F4F4F"/>
        <rFont val="Arial MT"/>
        <family val="2"/>
      </rPr>
      <t>PAGO A PROVEEDORES  BDV 014744149  LOTE 00440772</t>
    </r>
  </si>
  <si>
    <t>COMISION PAGO A PROVEEDORES</t>
  </si>
  <si>
    <t>PAGOMOVIL OTROS BANCOS 0134 04142254712</t>
  </si>
  <si>
    <t>NC</t>
  </si>
  <si>
    <t>COMISION PAGOMOVILBDV</t>
  </si>
  <si>
    <t>PAGOMOVIL OTROS BANCOS 0105 04243252293</t>
  </si>
  <si>
    <t>PAGOMOVIL BDV V028023800 FRANCISCO MADRIZ</t>
  </si>
  <si>
    <t>COBRO COMISION PAG MOVIL BDV A</t>
  </si>
  <si>
    <t>PAGOMOVIL OTROS BANCOS 0191 04141500569</t>
  </si>
  <si>
    <t>Referencia</t>
  </si>
  <si>
    <t>Descripción</t>
  </si>
  <si>
    <t>Fecha</t>
  </si>
  <si>
    <t>Débito</t>
  </si>
  <si>
    <t>Crédito</t>
  </si>
  <si>
    <t>Saldo</t>
  </si>
  <si>
    <t>PAGO A PROVEEDORES  BDV 014744149  LOTE 00440642</t>
  </si>
  <si>
    <t>ND</t>
  </si>
  <si>
    <t>PAGO A PROVEEDORES  BDV 014744149  LOTE 00440697</t>
  </si>
  <si>
    <t>PAGO A PROVEEDORES  BDV 014744149  LOTE 00440772</t>
  </si>
  <si>
    <t>SALDO INICIAL</t>
  </si>
  <si>
    <t>COM MANTENIMIENTO  DE CUENTA</t>
  </si>
  <si>
    <t>PAGO A PROVEEDORES  BDV V014744149 LOTE 00428371</t>
  </si>
  <si>
    <t>PAGO A PROVEEDORES  BDV V014744149 LOTE 00428508</t>
  </si>
  <si>
    <t>PAGO A PROVEEDORES  BDV V014744149 LOTE 00428942</t>
  </si>
  <si>
    <t>PAGOMOVIL BDV V022764031 JONATHAN APONTE</t>
  </si>
  <si>
    <t>PAGO A PROVEEDORES  BDV V014744149 LOTE 00429023</t>
  </si>
  <si>
    <t>PAGO A PROVEEDORES  BDV V014744149 LOTE 00429142</t>
  </si>
  <si>
    <t>PAGO A PROVEEDORES  BDV V014744149 LOTE 00429257</t>
  </si>
  <si>
    <t>PAGO A PROVEEDORES  BDV V014744149 LOTE 00429714</t>
  </si>
  <si>
    <t>PAGO A PROVEEDORES  BDV V014744149 LOTE 00429921</t>
  </si>
  <si>
    <t>PAGO A PROVEEDORES  BDV V014744149 LOTE 00430051</t>
  </si>
  <si>
    <t>PAGO A PROVEEDORES  BDV V014744149 LOTE 00431470</t>
  </si>
  <si>
    <t>PAGO A PROVEEDORES  BDV V014744149 LOTE 00431579</t>
  </si>
  <si>
    <t>PAGO A PROVEEDORES  BDV V014744149 LOTE 00431721</t>
  </si>
  <si>
    <t>PAGO A PROVEEDORES  BDV V014744149 LOTE 00432248</t>
  </si>
  <si>
    <t>PAGO A PROVEEDORES  BDV V014744149 LOTE 00432359</t>
  </si>
  <si>
    <t>PAGO A PROVEEDORES  BDV V014744149 LOTE 00432373</t>
  </si>
  <si>
    <t>PAGO A PROVEEDORES  BDV V014744149 LOTE 00432401</t>
  </si>
  <si>
    <t>PAGO A PROVEEDORES  BDV V014744149 LOTE 00432421</t>
  </si>
  <si>
    <t>PAGO A PROVEEDORES  BDV V014744149 LOTE 00433018</t>
  </si>
  <si>
    <t>PAGO A PROVEEDORES  BDV V014744149 LOTE 00433284</t>
  </si>
  <si>
    <t>PAGO A PROVEEDORES  BDV V014744149 LOTE 00433497</t>
  </si>
  <si>
    <t>PAGO A PROVEEDORES  BDV V014744149 LOTE 00434660</t>
  </si>
  <si>
    <t>PAGOMOVIL OTROS BANCOS 0105</t>
  </si>
  <si>
    <t>PAGO IMPUESTOS  INTERNET</t>
  </si>
  <si>
    <t>PAGO A PROVEEDORES  BDV V014744149 LOTE 00435054</t>
  </si>
  <si>
    <t>PAGOMOVIL OTROS BANCOS 0191</t>
  </si>
  <si>
    <t>PAGO A PROVEEDORES  BDV V014744149 LOTE 00435440</t>
  </si>
  <si>
    <t>PAGO A PROVEEDORES  BDV V014744149 LOTE 00435734</t>
  </si>
  <si>
    <t>PAGO A PROVEEDORES  BDV V014744149</t>
  </si>
  <si>
    <t>PAGO A PROVEEDORES  BDV 014744149  LOTE 00436720</t>
  </si>
  <si>
    <t>PAGO A PROVEEDORES  BDV 014744149  LOTE 00437094</t>
  </si>
  <si>
    <t>PAGO A PROVEEDORES  BDV 014744149  LOTE 00437143</t>
  </si>
  <si>
    <t>PAGO A PROVEEDORES  BDV 014744149  LOTE 00437989</t>
  </si>
  <si>
    <t>PAGO A PROVEEDORES  BDV 014744149  LOTE 00437998</t>
  </si>
  <si>
    <t>PAGO A PROVEEDORES  BDV 014744149  LOTE</t>
  </si>
  <si>
    <t>PAGO A PROVEEDORES  BDV 014744149  LOTE 00438894</t>
  </si>
  <si>
    <t>PAGO A PROVEEDORES  BDV 014744149  LOTE 00438981</t>
  </si>
  <si>
    <t>PAGO A PROVEEDORES  BDV 014744149  LOTE 00439140</t>
  </si>
  <si>
    <t>PAGO A PROVEEDORES  BDV 014744149  LOTE 00439317</t>
  </si>
  <si>
    <t>PAGO A PROVEEDORES  BDV 014744149  LOTE 00439446</t>
  </si>
  <si>
    <t>PAGO A PROVEEDORES  BDV 014744149  LOTE 00439501</t>
  </si>
  <si>
    <t>PAGO A PROVEEDORES  BDV 014744149  LOTE 00439881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</si>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</sst>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/mm/yyyy;@"/>
    <numFmt numFmtId="165" formatCode="0000000000000"/>
    <numFmt numFmtId="166" formatCode="00000000000"/>
    <numFmt numFmtId="167" formatCode="00000000"/>
  </numFmts>
  <fonts count="7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name val="Arial MT"/>
    </font>
    <font>
      <sz val="10"/>
      <color rgb="FF4F4F4F"/>
      <name val="Arial MT"/>
      <family val="2"/>
    </font>
    <font>
      <b/>
      <sz val="10"/>
      <color rgb="FFFFFFFF"/>
      <name val="Arial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880BA"/>
      </patternFill>
    </fill>
    <fill>
      <patternFill patternType="solid">
        <fgColor rgb="FFF4F4F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5">
    <xf numFmtId="0" fontId="0" fillId="0" borderId="0" xfId="0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 wrapText="1"/>
    </xf>
    <xf numFmtId="164" fontId="3" fillId="3" borderId="0" xfId="0" applyNumberFormat="1" applyFont="1" applyFill="1" applyBorder="1" applyAlignment="1">
      <alignment horizontal="left" vertical="top" shrinkToFit="1"/>
    </xf>
    <xf numFmtId="2" fontId="3" fillId="3" borderId="0" xfId="0" applyNumberFormat="1" applyFont="1" applyFill="1" applyBorder="1" applyAlignment="1">
      <alignment horizontal="left" vertical="top" shrinkToFit="1"/>
    </xf>
    <xf numFmtId="4" fontId="3" fillId="3" borderId="0" xfId="0" applyNumberFormat="1" applyFont="1" applyFill="1" applyBorder="1" applyAlignment="1">
      <alignment horizontal="left" vertical="top" shrinkToFit="1"/>
    </xf>
    <xf numFmtId="165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left" vertical="top" wrapText="1"/>
    </xf>
    <xf numFmtId="164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center" vertical="top" wrapText="1"/>
    </xf>
    <xf numFmtId="2" fontId="3" fillId="0" borderId="0" xfId="0" applyNumberFormat="1" applyFont="1" applyFill="1" applyBorder="1" applyAlignment="1">
      <alignment horizontal="left" vertical="top" indent="1" shrinkToFit="1"/>
    </xf>
    <xf numFmtId="2" fontId="3" fillId="0" borderId="0" xfId="0" applyNumberFormat="1" applyFont="1" applyFill="1" applyBorder="1" applyAlignment="1">
      <alignment horizontal="left" vertical="top" shrinkToFit="1"/>
    </xf>
    <xf numFmtId="4" fontId="3" fillId="0" borderId="0" xfId="0" applyNumberFormat="1" applyFont="1" applyFill="1" applyBorder="1" applyAlignment="1">
      <alignment horizontal="center" vertical="top" shrinkToFit="1"/>
    </xf>
    <xf numFmtId="165" fontId="3" fillId="3" borderId="0" xfId="0" applyNumberFormat="1" applyFont="1" applyFill="1" applyBorder="1" applyAlignment="1">
      <alignment horizontal="center" vertical="top" shrinkToFit="1"/>
    </xf>
    <xf numFmtId="0" fontId="2" fillId="3" borderId="0" xfId="0" applyFont="1" applyFill="1" applyBorder="1" applyAlignment="1">
      <alignment horizontal="left" vertical="top" wrapText="1"/>
    </xf>
    <xf numFmtId="164" fontId="3" fillId="3" borderId="0" xfId="0" applyNumberFormat="1" applyFont="1" applyFill="1" applyBorder="1" applyAlignment="1">
      <alignment horizontal="center" vertical="top" shrinkToFit="1"/>
    </xf>
    <xf numFmtId="0" fontId="2" fillId="3" borderId="0" xfId="0" applyFont="1" applyFill="1" applyBorder="1" applyAlignment="1">
      <alignment horizontal="center" vertical="top" wrapText="1"/>
    </xf>
    <xf numFmtId="2" fontId="3" fillId="3" borderId="0" xfId="0" applyNumberFormat="1" applyFont="1" applyFill="1" applyBorder="1" applyAlignment="1">
      <alignment horizontal="left" vertical="top" indent="1" shrinkToFit="1"/>
    </xf>
    <xf numFmtId="4" fontId="3" fillId="3" borderId="0" xfId="0" applyNumberFormat="1" applyFont="1" applyFill="1" applyBorder="1" applyAlignment="1">
      <alignment horizontal="center" vertical="top" shrinkToFit="1"/>
    </xf>
    <xf numFmtId="4" fontId="3" fillId="3" borderId="0" xfId="0" applyNumberFormat="1" applyFont="1" applyFill="1" applyBorder="1" applyAlignment="1">
      <alignment horizontal="left" vertical="top" indent="1" shrinkToFit="1"/>
    </xf>
    <xf numFmtId="0" fontId="0" fillId="2" borderId="0" xfId="0" applyFill="1" applyBorder="1" applyAlignment="1">
      <alignment horizontal="left" wrapText="1"/>
    </xf>
    <xf numFmtId="0" fontId="1" fillId="2" borderId="0" xfId="0" applyFont="1" applyFill="1" applyBorder="1" applyAlignment="1">
      <alignment horizontal="left" vertical="top" wrapText="1" indent="1"/>
    </xf>
    <xf numFmtId="165" fontId="3" fillId="3" borderId="0" xfId="0" applyNumberFormat="1" applyFont="1" applyFill="1" applyBorder="1" applyAlignment="1">
      <alignment horizontal="left" vertical="top" shrinkToFit="1"/>
    </xf>
    <xf numFmtId="165" fontId="3" fillId="0" borderId="0" xfId="0" applyNumberFormat="1" applyFont="1" applyFill="1" applyBorder="1" applyAlignment="1">
      <alignment horizontal="left" vertical="top" shrinkToFit="1"/>
    </xf>
    <xf numFmtId="164" fontId="3" fillId="0" borderId="0" xfId="0" applyNumberFormat="1" applyFont="1" applyFill="1" applyBorder="1" applyAlignment="1">
      <alignment horizontal="left" vertical="top" shrinkToFit="1"/>
    </xf>
    <xf numFmtId="4" fontId="3" fillId="0" borderId="0" xfId="0" applyNumberFormat="1" applyFont="1" applyFill="1" applyBorder="1" applyAlignment="1">
      <alignment horizontal="left" vertical="top" shrinkToFit="1"/>
    </xf>
    <xf numFmtId="4" fontId="3" fillId="0" borderId="0" xfId="0" applyNumberFormat="1" applyFont="1" applyFill="1" applyBorder="1" applyAlignment="1">
      <alignment horizontal="left" vertical="top" indent="1" shrinkToFit="1"/>
    </xf>
    <xf numFmtId="0" fontId="0" fillId="3" borderId="0" xfId="0" applyFill="1" applyBorder="1" applyAlignment="1">
      <alignment horizontal="left" wrapText="1"/>
    </xf>
    <xf numFmtId="166" fontId="3" fillId="3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166" fontId="3" fillId="0" borderId="0" xfId="0" applyNumberFormat="1" applyFont="1" applyFill="1" applyBorder="1" applyAlignment="1">
      <alignment horizontal="left" vertical="top" shrinkToFit="1"/>
    </xf>
    <xf numFmtId="167" fontId="3" fillId="0" borderId="0" xfId="0" applyNumberFormat="1" applyFont="1" applyFill="1" applyBorder="1" applyAlignment="1">
      <alignment horizontal="left" vertical="top" shrinkToFit="1"/>
    </xf>
    <xf numFmtId="15" fontId="1" fillId="2" borderId="0" xfId="0" applyNumberFormat="1" applyFont="1" applyFill="1" applyBorder="1" applyAlignment="1">
      <alignment horizontal="center" vertical="top" wrapText="1"/>
    </xf>
    <xf numFmtId="15" fontId="0" fillId="0" borderId="0" xfId="0" applyNumberFormat="1" applyFill="1" applyBorder="1" applyAlignment="1">
      <alignment horizontal="center" vertical="top"/>
    </xf>
    <xf numFmtId="43" fontId="1" fillId="2" borderId="0" xfId="1" applyFont="1" applyFill="1" applyBorder="1" applyAlignment="1">
      <alignment horizontal="left" vertical="top" wrapText="1"/>
    </xf>
    <xf numFmtId="43" fontId="0" fillId="0" borderId="0" xfId="1" applyFont="1" applyFill="1" applyBorder="1" applyAlignment="1">
      <alignment horizontal="left" vertical="top"/>
    </xf>
    <xf numFmtId="43" fontId="1" fillId="2" borderId="0" xfId="1" applyFont="1" applyFill="1" applyBorder="1" applyAlignment="1">
      <alignment vertical="top" wrapText="1"/>
    </xf>
    <xf numFmtId="1" fontId="1" fillId="2" borderId="0" xfId="0" applyNumberFormat="1" applyFont="1" applyFill="1" applyBorder="1" applyAlignment="1">
      <alignment horizontal="center" vertical="top" wrapText="1"/>
    </xf>
    <xf numFmtId="1" fontId="0" fillId="0" borderId="0" xfId="0" applyNumberFormat="1" applyFill="1" applyBorder="1" applyAlignment="1">
      <alignment horizontal="center" vertical="top"/>
    </xf>
    <xf numFmtId="43" fontId="0" fillId="4" borderId="0" xfId="0" applyNumberFormat="1" applyFill="1"/>
    <xf numFmtId="0" fontId="0" fillId="0" borderId="0" xfId="0" applyFill="1" applyBorder="1" applyAlignment="1">
      <alignment horizontal="right" vertical="top"/>
    </xf>
    <xf numFmtId="0" fontId="1" fillId="2" borderId="0" xfId="0" applyFont="1" applyFill="1" applyBorder="1" applyAlignment="1">
      <alignment horizontal="left" vertical="top" wrapText="1" indent="4"/>
    </xf>
    <xf numFmtId="0" fontId="2" fillId="3" borderId="0" xfId="0" applyFont="1" applyFill="1" applyBorder="1" applyAlignment="1">
      <alignment horizontal="left" vertical="top" wrapText="1" indent="11"/>
    </xf>
    <xf numFmtId="2" fontId="3" fillId="3" borderId="0" xfId="0" applyNumberFormat="1" applyFont="1" applyFill="1" applyBorder="1" applyAlignment="1">
      <alignment horizontal="left" vertical="top" indent="4" shrinkToFit="1"/>
    </xf>
    <xf numFmtId="165" fontId="6" fillId="4" borderId="0" xfId="0" applyNumberFormat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72675</xdr:colOff>
      <xdr:row>0</xdr:row>
      <xdr:rowOff>80390</xdr:rowOff>
    </xdr:from>
    <xdr:ext cx="242697" cy="93059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2697" cy="93059"/>
        </a:xfrm>
        <a:prstGeom prst="rect">
          <a:avLst/>
        </a:prstGeom>
      </xdr:spPr>
    </xdr:pic>
    <xdr:clientData/>
  </xdr:oneCellAnchor>
  <xdr:oneCellAnchor>
    <xdr:from>
      <xdr:col>3</xdr:col>
      <xdr:colOff>68097</xdr:colOff>
      <xdr:row>1</xdr:row>
      <xdr:rowOff>80771</xdr:rowOff>
    </xdr:from>
    <xdr:ext cx="104139" cy="9334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104139" cy="93345"/>
        </a:xfrm>
        <a:custGeom>
          <a:avLst/>
          <a:gdLst/>
          <a:ahLst/>
          <a:cxnLst/>
          <a:rect l="0" t="0" r="0" b="0"/>
          <a:pathLst>
            <a:path w="104139" h="93345">
              <a:moveTo>
                <a:pt x="73253" y="61061"/>
              </a:moveTo>
              <a:lnTo>
                <a:pt x="71729" y="56489"/>
              </a:lnTo>
              <a:lnTo>
                <a:pt x="68681" y="53340"/>
              </a:lnTo>
              <a:lnTo>
                <a:pt x="67157" y="50292"/>
              </a:lnTo>
              <a:lnTo>
                <a:pt x="62585" y="45720"/>
              </a:lnTo>
              <a:lnTo>
                <a:pt x="53441" y="42672"/>
              </a:lnTo>
              <a:lnTo>
                <a:pt x="47244" y="41148"/>
              </a:lnTo>
              <a:lnTo>
                <a:pt x="38100" y="38100"/>
              </a:lnTo>
              <a:lnTo>
                <a:pt x="27432" y="36576"/>
              </a:lnTo>
              <a:lnTo>
                <a:pt x="21336" y="33528"/>
              </a:lnTo>
              <a:lnTo>
                <a:pt x="15240" y="27432"/>
              </a:lnTo>
              <a:lnTo>
                <a:pt x="15240" y="19812"/>
              </a:lnTo>
              <a:lnTo>
                <a:pt x="16764" y="16764"/>
              </a:lnTo>
              <a:lnTo>
                <a:pt x="21336" y="13716"/>
              </a:lnTo>
              <a:lnTo>
                <a:pt x="24384" y="10668"/>
              </a:lnTo>
              <a:lnTo>
                <a:pt x="44196" y="10668"/>
              </a:lnTo>
              <a:lnTo>
                <a:pt x="48768" y="12192"/>
              </a:lnTo>
              <a:lnTo>
                <a:pt x="51917" y="13716"/>
              </a:lnTo>
              <a:lnTo>
                <a:pt x="56489" y="16764"/>
              </a:lnTo>
              <a:lnTo>
                <a:pt x="58013" y="21336"/>
              </a:lnTo>
              <a:lnTo>
                <a:pt x="59537" y="27432"/>
              </a:lnTo>
              <a:lnTo>
                <a:pt x="70205" y="25908"/>
              </a:lnTo>
              <a:lnTo>
                <a:pt x="70205" y="21336"/>
              </a:lnTo>
              <a:lnTo>
                <a:pt x="68681" y="16764"/>
              </a:lnTo>
              <a:lnTo>
                <a:pt x="62585" y="7620"/>
              </a:lnTo>
              <a:lnTo>
                <a:pt x="59537" y="4572"/>
              </a:lnTo>
              <a:lnTo>
                <a:pt x="53441" y="3048"/>
              </a:lnTo>
              <a:lnTo>
                <a:pt x="48768" y="0"/>
              </a:lnTo>
              <a:lnTo>
                <a:pt x="24384" y="0"/>
              </a:lnTo>
              <a:lnTo>
                <a:pt x="19812" y="3048"/>
              </a:lnTo>
              <a:lnTo>
                <a:pt x="13716" y="4572"/>
              </a:lnTo>
              <a:lnTo>
                <a:pt x="10668" y="7620"/>
              </a:lnTo>
              <a:lnTo>
                <a:pt x="7620" y="12192"/>
              </a:lnTo>
              <a:lnTo>
                <a:pt x="6096" y="15240"/>
              </a:lnTo>
              <a:lnTo>
                <a:pt x="4572" y="19812"/>
              </a:lnTo>
              <a:lnTo>
                <a:pt x="4572" y="32004"/>
              </a:lnTo>
              <a:lnTo>
                <a:pt x="7620" y="36576"/>
              </a:lnTo>
              <a:lnTo>
                <a:pt x="9144" y="39624"/>
              </a:lnTo>
              <a:lnTo>
                <a:pt x="12192" y="42672"/>
              </a:lnTo>
              <a:lnTo>
                <a:pt x="16764" y="44196"/>
              </a:lnTo>
              <a:lnTo>
                <a:pt x="19812" y="45720"/>
              </a:lnTo>
              <a:lnTo>
                <a:pt x="25908" y="47244"/>
              </a:lnTo>
              <a:lnTo>
                <a:pt x="35052" y="50292"/>
              </a:lnTo>
              <a:lnTo>
                <a:pt x="42672" y="51816"/>
              </a:lnTo>
              <a:lnTo>
                <a:pt x="48768" y="53340"/>
              </a:lnTo>
              <a:lnTo>
                <a:pt x="50292" y="54864"/>
              </a:lnTo>
              <a:lnTo>
                <a:pt x="54965" y="56489"/>
              </a:lnTo>
              <a:lnTo>
                <a:pt x="58013" y="58013"/>
              </a:lnTo>
              <a:lnTo>
                <a:pt x="59537" y="59537"/>
              </a:lnTo>
              <a:lnTo>
                <a:pt x="61061" y="62585"/>
              </a:lnTo>
              <a:lnTo>
                <a:pt x="61061" y="73253"/>
              </a:lnTo>
              <a:lnTo>
                <a:pt x="59537" y="74777"/>
              </a:lnTo>
              <a:lnTo>
                <a:pt x="58013" y="77825"/>
              </a:lnTo>
              <a:lnTo>
                <a:pt x="51917" y="80873"/>
              </a:lnTo>
              <a:lnTo>
                <a:pt x="47244" y="82397"/>
              </a:lnTo>
              <a:lnTo>
                <a:pt x="28956" y="82397"/>
              </a:lnTo>
              <a:lnTo>
                <a:pt x="24384" y="79349"/>
              </a:lnTo>
              <a:lnTo>
                <a:pt x="18288" y="76301"/>
              </a:lnTo>
              <a:lnTo>
                <a:pt x="15240" y="73253"/>
              </a:lnTo>
              <a:lnTo>
                <a:pt x="13716" y="70205"/>
              </a:lnTo>
              <a:lnTo>
                <a:pt x="12192" y="65633"/>
              </a:lnTo>
              <a:lnTo>
                <a:pt x="12192" y="61061"/>
              </a:lnTo>
              <a:lnTo>
                <a:pt x="0" y="62585"/>
              </a:lnTo>
              <a:lnTo>
                <a:pt x="3048" y="74777"/>
              </a:lnTo>
              <a:lnTo>
                <a:pt x="9144" y="83921"/>
              </a:lnTo>
              <a:lnTo>
                <a:pt x="18288" y="90017"/>
              </a:lnTo>
              <a:lnTo>
                <a:pt x="24384" y="93065"/>
              </a:lnTo>
              <a:lnTo>
                <a:pt x="51917" y="93065"/>
              </a:lnTo>
              <a:lnTo>
                <a:pt x="56489" y="90017"/>
              </a:lnTo>
              <a:lnTo>
                <a:pt x="62585" y="86969"/>
              </a:lnTo>
              <a:lnTo>
                <a:pt x="65633" y="83921"/>
              </a:lnTo>
              <a:lnTo>
                <a:pt x="68681" y="79349"/>
              </a:lnTo>
              <a:lnTo>
                <a:pt x="71729" y="76301"/>
              </a:lnTo>
              <a:lnTo>
                <a:pt x="73253" y="71729"/>
              </a:lnTo>
              <a:lnTo>
                <a:pt x="73253" y="61061"/>
              </a:lnTo>
              <a:close/>
            </a:path>
            <a:path w="104139" h="93345">
              <a:moveTo>
                <a:pt x="104101" y="0"/>
              </a:moveTo>
              <a:lnTo>
                <a:pt x="91922" y="0"/>
              </a:lnTo>
              <a:lnTo>
                <a:pt x="91922" y="91440"/>
              </a:lnTo>
              <a:lnTo>
                <a:pt x="104101" y="91440"/>
              </a:lnTo>
              <a:lnTo>
                <a:pt x="104101" y="0"/>
              </a:lnTo>
              <a:close/>
            </a:path>
          </a:pathLst>
        </a:custGeom>
        <a:solidFill>
          <a:srgbClr val="50505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179831</xdr:colOff>
      <xdr:row>15</xdr:row>
      <xdr:rowOff>0</xdr:rowOff>
    </xdr:from>
    <xdr:ext cx="7426959" cy="693420"/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/>
      </xdr:nvGrpSpPr>
      <xdr:grpSpPr>
        <a:xfrm>
          <a:off x="179831" y="4953000"/>
          <a:ext cx="7426959" cy="693420"/>
          <a:chOff x="0" y="0"/>
          <a:chExt cx="7426959" cy="693420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9" name="image4.png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0" y="274319"/>
            <a:ext cx="4799330" cy="419100"/>
          </a:xfrm>
          <a:custGeom>
            <a:avLst/>
            <a:gdLst/>
            <a:ahLst/>
            <a:cxnLst/>
            <a:rect l="0" t="0" r="0" b="0"/>
            <a:pathLst>
              <a:path w="4799330" h="41910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419100"/>
                </a:lnTo>
                <a:lnTo>
                  <a:pt x="4799076" y="41910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0</xdr:col>
      <xdr:colOff>179831</xdr:colOff>
      <xdr:row>30</xdr:row>
      <xdr:rowOff>0</xdr:rowOff>
    </xdr:from>
    <xdr:ext cx="7426959" cy="693420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179831" y="10382250"/>
          <a:ext cx="7426959" cy="693420"/>
          <a:chOff x="0" y="0"/>
          <a:chExt cx="7426959" cy="693420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14" name="image4.png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0" y="274319"/>
            <a:ext cx="4799330" cy="419100"/>
          </a:xfrm>
          <a:custGeom>
            <a:avLst/>
            <a:gdLst/>
            <a:ahLst/>
            <a:cxnLst/>
            <a:rect l="0" t="0" r="0" b="0"/>
            <a:pathLst>
              <a:path w="4799330" h="41910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419100"/>
                </a:lnTo>
                <a:lnTo>
                  <a:pt x="4799076" y="41910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0</xdr:col>
      <xdr:colOff>179831</xdr:colOff>
      <xdr:row>45</xdr:row>
      <xdr:rowOff>0</xdr:rowOff>
    </xdr:from>
    <xdr:ext cx="7426959" cy="693420"/>
    <xdr:grpSp>
      <xdr:nvGrpSpPr>
        <xdr:cNvPr id="17" name="Group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179831" y="15811500"/>
          <a:ext cx="7426959" cy="693420"/>
          <a:chOff x="0" y="0"/>
          <a:chExt cx="7426959" cy="693420"/>
        </a:xfrm>
      </xdr:grpSpPr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19" name="image4.png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0" y="274319"/>
            <a:ext cx="4799330" cy="419100"/>
          </a:xfrm>
          <a:custGeom>
            <a:avLst/>
            <a:gdLst/>
            <a:ahLst/>
            <a:cxnLst/>
            <a:rect l="0" t="0" r="0" b="0"/>
            <a:pathLst>
              <a:path w="4799330" h="41910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419100"/>
                </a:lnTo>
                <a:lnTo>
                  <a:pt x="4799076" y="41910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0</xdr:col>
      <xdr:colOff>179831</xdr:colOff>
      <xdr:row>60</xdr:row>
      <xdr:rowOff>0</xdr:rowOff>
    </xdr:from>
    <xdr:ext cx="7426959" cy="693420"/>
    <xdr:grpSp>
      <xdr:nvGrpSpPr>
        <xdr:cNvPr id="22" name="Group 2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pSpPr/>
      </xdr:nvGrpSpPr>
      <xdr:grpSpPr>
        <a:xfrm>
          <a:off x="179831" y="21240750"/>
          <a:ext cx="7426959" cy="693420"/>
          <a:chOff x="0" y="0"/>
          <a:chExt cx="7426959" cy="693420"/>
        </a:xfrm>
      </xdr:grpSpPr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24" name="image4.png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0" y="274319"/>
            <a:ext cx="4799330" cy="419100"/>
          </a:xfrm>
          <a:custGeom>
            <a:avLst/>
            <a:gdLst/>
            <a:ahLst/>
            <a:cxnLst/>
            <a:rect l="0" t="0" r="0" b="0"/>
            <a:pathLst>
              <a:path w="4799330" h="41910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419100"/>
                </a:lnTo>
                <a:lnTo>
                  <a:pt x="4799076" y="41910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0</xdr:col>
      <xdr:colOff>179831</xdr:colOff>
      <xdr:row>75</xdr:row>
      <xdr:rowOff>0</xdr:rowOff>
    </xdr:from>
    <xdr:ext cx="7426959" cy="693420"/>
    <xdr:grpSp>
      <xdr:nvGrpSpPr>
        <xdr:cNvPr id="27" name="Group 27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pSpPr/>
      </xdr:nvGrpSpPr>
      <xdr:grpSpPr>
        <a:xfrm>
          <a:off x="179831" y="26670000"/>
          <a:ext cx="7426959" cy="693420"/>
          <a:chOff x="0" y="0"/>
          <a:chExt cx="7426959" cy="693420"/>
        </a:xfrm>
      </xdr:grpSpPr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29" name="image4.png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0" y="274319"/>
            <a:ext cx="4799330" cy="419100"/>
          </a:xfrm>
          <a:custGeom>
            <a:avLst/>
            <a:gdLst/>
            <a:ahLst/>
            <a:cxnLst/>
            <a:rect l="0" t="0" r="0" b="0"/>
            <a:pathLst>
              <a:path w="4799330" h="41910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419100"/>
                </a:lnTo>
                <a:lnTo>
                  <a:pt x="4799076" y="41910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0</xdr:col>
      <xdr:colOff>179831</xdr:colOff>
      <xdr:row>90</xdr:row>
      <xdr:rowOff>0</xdr:rowOff>
    </xdr:from>
    <xdr:ext cx="7426959" cy="693420"/>
    <xdr:grpSp>
      <xdr:nvGrpSpPr>
        <xdr:cNvPr id="32" name="Group 32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179831" y="32099250"/>
          <a:ext cx="7426959" cy="693420"/>
          <a:chOff x="0" y="0"/>
          <a:chExt cx="7426959" cy="693420"/>
        </a:xfrm>
      </xdr:grpSpPr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34" name="image4.png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/>
        </xdr:nvSpPr>
        <xdr:spPr>
          <a:xfrm>
            <a:off x="0" y="274319"/>
            <a:ext cx="4799330" cy="419100"/>
          </a:xfrm>
          <a:custGeom>
            <a:avLst/>
            <a:gdLst/>
            <a:ahLst/>
            <a:cxnLst/>
            <a:rect l="0" t="0" r="0" b="0"/>
            <a:pathLst>
              <a:path w="4799330" h="41910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419100"/>
                </a:lnTo>
                <a:lnTo>
                  <a:pt x="4799076" y="41910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0</xdr:col>
      <xdr:colOff>179831</xdr:colOff>
      <xdr:row>105</xdr:row>
      <xdr:rowOff>-1</xdr:rowOff>
    </xdr:from>
    <xdr:ext cx="7426959" cy="693420"/>
    <xdr:grpSp>
      <xdr:nvGrpSpPr>
        <xdr:cNvPr id="37" name="Group 37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pSpPr/>
      </xdr:nvGrpSpPr>
      <xdr:grpSpPr>
        <a:xfrm>
          <a:off x="179831" y="37528499"/>
          <a:ext cx="7426959" cy="693420"/>
          <a:chOff x="0" y="0"/>
          <a:chExt cx="7426959" cy="693420"/>
        </a:xfrm>
      </xdr:grpSpPr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39" name="image4.png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0" y="274319"/>
            <a:ext cx="4799330" cy="419100"/>
          </a:xfrm>
          <a:custGeom>
            <a:avLst/>
            <a:gdLst/>
            <a:ahLst/>
            <a:cxnLst/>
            <a:rect l="0" t="0" r="0" b="0"/>
            <a:pathLst>
              <a:path w="4799330" h="41910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419100"/>
                </a:lnTo>
                <a:lnTo>
                  <a:pt x="4799076" y="41910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0</xdr:col>
      <xdr:colOff>179831</xdr:colOff>
      <xdr:row>120</xdr:row>
      <xdr:rowOff>0</xdr:rowOff>
    </xdr:from>
    <xdr:ext cx="7426959" cy="693420"/>
    <xdr:grpSp>
      <xdr:nvGrpSpPr>
        <xdr:cNvPr id="42" name="Group 4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pSpPr/>
      </xdr:nvGrpSpPr>
      <xdr:grpSpPr>
        <a:xfrm>
          <a:off x="179831" y="42957750"/>
          <a:ext cx="7426959" cy="693420"/>
          <a:chOff x="0" y="0"/>
          <a:chExt cx="7426959" cy="693420"/>
        </a:xfrm>
      </xdr:grpSpPr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44" name="image4.png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/>
        </xdr:nvSpPr>
        <xdr:spPr>
          <a:xfrm>
            <a:off x="0" y="274319"/>
            <a:ext cx="4799330" cy="419100"/>
          </a:xfrm>
          <a:custGeom>
            <a:avLst/>
            <a:gdLst/>
            <a:ahLst/>
            <a:cxnLst/>
            <a:rect l="0" t="0" r="0" b="0"/>
            <a:pathLst>
              <a:path w="4799330" h="41910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419100"/>
                </a:lnTo>
                <a:lnTo>
                  <a:pt x="4799076" y="41910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0</xdr:col>
      <xdr:colOff>179831</xdr:colOff>
      <xdr:row>135</xdr:row>
      <xdr:rowOff>1</xdr:rowOff>
    </xdr:from>
    <xdr:ext cx="7426959" cy="693420"/>
    <xdr:grpSp>
      <xdr:nvGrpSpPr>
        <xdr:cNvPr id="47" name="Group 47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pSpPr/>
      </xdr:nvGrpSpPr>
      <xdr:grpSpPr>
        <a:xfrm>
          <a:off x="179831" y="48387001"/>
          <a:ext cx="7426959" cy="693420"/>
          <a:chOff x="0" y="0"/>
          <a:chExt cx="7426959" cy="693420"/>
        </a:xfrm>
      </xdr:grpSpPr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49" name="image4.png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/>
        </xdr:nvSpPr>
        <xdr:spPr>
          <a:xfrm>
            <a:off x="0" y="274319"/>
            <a:ext cx="4799330" cy="419100"/>
          </a:xfrm>
          <a:custGeom>
            <a:avLst/>
            <a:gdLst/>
            <a:ahLst/>
            <a:cxnLst/>
            <a:rect l="0" t="0" r="0" b="0"/>
            <a:pathLst>
              <a:path w="4799330" h="41910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419100"/>
                </a:lnTo>
                <a:lnTo>
                  <a:pt x="4799076" y="41910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0</xdr:col>
      <xdr:colOff>179831</xdr:colOff>
      <xdr:row>150</xdr:row>
      <xdr:rowOff>2</xdr:rowOff>
    </xdr:from>
    <xdr:ext cx="7426959" cy="693420"/>
    <xdr:grpSp>
      <xdr:nvGrpSpPr>
        <xdr:cNvPr id="52" name="Group 52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GrpSpPr/>
      </xdr:nvGrpSpPr>
      <xdr:grpSpPr>
        <a:xfrm>
          <a:off x="179831" y="53816252"/>
          <a:ext cx="7426959" cy="693420"/>
          <a:chOff x="0" y="0"/>
          <a:chExt cx="7426959" cy="693420"/>
        </a:xfrm>
      </xdr:grpSpPr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54" name="image4.png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/>
        </xdr:nvSpPr>
        <xdr:spPr>
          <a:xfrm>
            <a:off x="0" y="274319"/>
            <a:ext cx="4799330" cy="419100"/>
          </a:xfrm>
          <a:custGeom>
            <a:avLst/>
            <a:gdLst/>
            <a:ahLst/>
            <a:cxnLst/>
            <a:rect l="0" t="0" r="0" b="0"/>
            <a:pathLst>
              <a:path w="4799330" h="41910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419100"/>
                </a:lnTo>
                <a:lnTo>
                  <a:pt x="4799076" y="41910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0</xdr:col>
      <xdr:colOff>179831</xdr:colOff>
      <xdr:row>165</xdr:row>
      <xdr:rowOff>-2</xdr:rowOff>
    </xdr:from>
    <xdr:ext cx="7426959" cy="693420"/>
    <xdr:grpSp>
      <xdr:nvGrpSpPr>
        <xdr:cNvPr id="57" name="Group 57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GrpSpPr/>
      </xdr:nvGrpSpPr>
      <xdr:grpSpPr>
        <a:xfrm>
          <a:off x="179831" y="59245498"/>
          <a:ext cx="7426959" cy="693420"/>
          <a:chOff x="0" y="0"/>
          <a:chExt cx="7426959" cy="693420"/>
        </a:xfrm>
      </xdr:grpSpPr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59" name="image4.png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/>
        </xdr:nvSpPr>
        <xdr:spPr>
          <a:xfrm>
            <a:off x="0" y="274319"/>
            <a:ext cx="4799330" cy="419100"/>
          </a:xfrm>
          <a:custGeom>
            <a:avLst/>
            <a:gdLst/>
            <a:ahLst/>
            <a:cxnLst/>
            <a:rect l="0" t="0" r="0" b="0"/>
            <a:pathLst>
              <a:path w="4799330" h="41910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419100"/>
                </a:lnTo>
                <a:lnTo>
                  <a:pt x="4799076" y="41910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0</xdr:col>
      <xdr:colOff>179831</xdr:colOff>
      <xdr:row>181</xdr:row>
      <xdr:rowOff>1</xdr:rowOff>
    </xdr:from>
    <xdr:ext cx="7426959" cy="693420"/>
    <xdr:grpSp>
      <xdr:nvGrpSpPr>
        <xdr:cNvPr id="62" name="Group 62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GrpSpPr/>
      </xdr:nvGrpSpPr>
      <xdr:grpSpPr>
        <a:xfrm>
          <a:off x="179831" y="64646176"/>
          <a:ext cx="7426959" cy="693420"/>
          <a:chOff x="0" y="0"/>
          <a:chExt cx="7426959" cy="693420"/>
        </a:xfrm>
      </xdr:grpSpPr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64" name="image4.png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/>
        </xdr:nvSpPr>
        <xdr:spPr>
          <a:xfrm>
            <a:off x="0" y="274319"/>
            <a:ext cx="4799330" cy="419100"/>
          </a:xfrm>
          <a:custGeom>
            <a:avLst/>
            <a:gdLst/>
            <a:ahLst/>
            <a:cxnLst/>
            <a:rect l="0" t="0" r="0" b="0"/>
            <a:pathLst>
              <a:path w="4799330" h="41910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419100"/>
                </a:lnTo>
                <a:lnTo>
                  <a:pt x="4799076" y="41910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3</xdr:col>
      <xdr:colOff>0</xdr:colOff>
      <xdr:row>169</xdr:row>
      <xdr:rowOff>2</xdr:rowOff>
    </xdr:from>
    <xdr:ext cx="381000" cy="274320"/>
    <xdr:grpSp>
      <xdr:nvGrpSpPr>
        <xdr:cNvPr id="67" name="Group 67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GrpSpPr/>
      </xdr:nvGrpSpPr>
      <xdr:grpSpPr>
        <a:xfrm>
          <a:off x="5010150" y="60626627"/>
          <a:ext cx="381000" cy="274320"/>
          <a:chOff x="0" y="0"/>
          <a:chExt cx="381000" cy="274320"/>
        </a:xfrm>
      </xdr:grpSpPr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19"/>
                </a:moveTo>
                <a:lnTo>
                  <a:pt x="0" y="274319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19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/>
        </xdr:nvSpPr>
        <xdr:spPr>
          <a:xfrm>
            <a:off x="72669" y="81063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8188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8376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6664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4302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3716"/>
                </a:lnTo>
                <a:lnTo>
                  <a:pt x="143446" y="15328"/>
                </a:lnTo>
                <a:lnTo>
                  <a:pt x="146494" y="18376"/>
                </a:lnTo>
                <a:lnTo>
                  <a:pt x="149542" y="22948"/>
                </a:lnTo>
                <a:lnTo>
                  <a:pt x="152590" y="29044"/>
                </a:lnTo>
                <a:lnTo>
                  <a:pt x="154114" y="36664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1524"/>
                </a:lnTo>
                <a:lnTo>
                  <a:pt x="131254" y="0"/>
                </a:lnTo>
                <a:lnTo>
                  <a:pt x="91541" y="0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3446" y="88582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7812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8188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171</xdr:row>
      <xdr:rowOff>0</xdr:rowOff>
    </xdr:from>
    <xdr:ext cx="381000" cy="274320"/>
    <xdr:grpSp>
      <xdr:nvGrpSpPr>
        <xdr:cNvPr id="70" name="Group 70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GrpSpPr/>
      </xdr:nvGrpSpPr>
      <xdr:grpSpPr>
        <a:xfrm>
          <a:off x="5010150" y="61312425"/>
          <a:ext cx="381000" cy="274320"/>
          <a:chOff x="0" y="0"/>
          <a:chExt cx="381000" cy="274320"/>
        </a:xfrm>
      </xdr:grpSpPr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72" name="Shape 72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/>
        </xdr:nvSpPr>
        <xdr:spPr>
          <a:xfrm>
            <a:off x="72669" y="82016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0205"/>
                </a:lnTo>
                <a:lnTo>
                  <a:pt x="12192" y="0"/>
                </a:lnTo>
                <a:lnTo>
                  <a:pt x="0" y="0"/>
                </a:lnTo>
                <a:lnTo>
                  <a:pt x="0" y="90017"/>
                </a:lnTo>
                <a:lnTo>
                  <a:pt x="12192" y="90017"/>
                </a:lnTo>
                <a:lnTo>
                  <a:pt x="12192" y="18288"/>
                </a:lnTo>
                <a:lnTo>
                  <a:pt x="59537" y="90017"/>
                </a:lnTo>
                <a:lnTo>
                  <a:pt x="71729" y="90017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0668"/>
                </a:lnTo>
                <a:lnTo>
                  <a:pt x="154114" y="8636"/>
                </a:lnTo>
                <a:lnTo>
                  <a:pt x="154114" y="35052"/>
                </a:lnTo>
                <a:lnTo>
                  <a:pt x="154114" y="56476"/>
                </a:lnTo>
                <a:lnTo>
                  <a:pt x="152590" y="61048"/>
                </a:lnTo>
                <a:lnTo>
                  <a:pt x="151066" y="67144"/>
                </a:lnTo>
                <a:lnTo>
                  <a:pt x="148018" y="70192"/>
                </a:lnTo>
                <a:lnTo>
                  <a:pt x="146494" y="73240"/>
                </a:lnTo>
                <a:lnTo>
                  <a:pt x="134302" y="79336"/>
                </a:lnTo>
                <a:lnTo>
                  <a:pt x="103822" y="79336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46494" y="16764"/>
                </a:lnTo>
                <a:lnTo>
                  <a:pt x="149542" y="22860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8636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0"/>
                </a:lnTo>
                <a:lnTo>
                  <a:pt x="91541" y="0"/>
                </a:lnTo>
                <a:lnTo>
                  <a:pt x="91541" y="90017"/>
                </a:lnTo>
                <a:lnTo>
                  <a:pt x="135826" y="90017"/>
                </a:lnTo>
                <a:lnTo>
                  <a:pt x="138874" y="88480"/>
                </a:lnTo>
                <a:lnTo>
                  <a:pt x="148018" y="85432"/>
                </a:lnTo>
                <a:lnTo>
                  <a:pt x="154114" y="82384"/>
                </a:lnTo>
                <a:lnTo>
                  <a:pt x="155638" y="79336"/>
                </a:lnTo>
                <a:lnTo>
                  <a:pt x="158788" y="76288"/>
                </a:lnTo>
                <a:lnTo>
                  <a:pt x="161836" y="71716"/>
                </a:lnTo>
                <a:lnTo>
                  <a:pt x="163360" y="68668"/>
                </a:lnTo>
                <a:lnTo>
                  <a:pt x="164884" y="62572"/>
                </a:lnTo>
                <a:lnTo>
                  <a:pt x="166408" y="58000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173</xdr:row>
      <xdr:rowOff>2</xdr:rowOff>
    </xdr:from>
    <xdr:ext cx="381000" cy="276225"/>
    <xdr:grpSp>
      <xdr:nvGrpSpPr>
        <xdr:cNvPr id="73" name="Group 73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GrpSpPr/>
      </xdr:nvGrpSpPr>
      <xdr:grpSpPr>
        <a:xfrm>
          <a:off x="5010150" y="61988702"/>
          <a:ext cx="381000" cy="276225"/>
          <a:chOff x="0" y="0"/>
          <a:chExt cx="381000" cy="276225"/>
        </a:xfrm>
      </xdr:grpSpPr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/>
        </xdr:nvSpPr>
        <xdr:spPr>
          <a:xfrm>
            <a:off x="0" y="0"/>
            <a:ext cx="381000" cy="276225"/>
          </a:xfrm>
          <a:custGeom>
            <a:avLst/>
            <a:gdLst/>
            <a:ahLst/>
            <a:cxnLst/>
            <a:rect l="0" t="0" r="0" b="0"/>
            <a:pathLst>
              <a:path w="381000" h="276225">
                <a:moveTo>
                  <a:pt x="381000" y="275844"/>
                </a:moveTo>
                <a:lnTo>
                  <a:pt x="0" y="275844"/>
                </a:lnTo>
                <a:lnTo>
                  <a:pt x="0" y="0"/>
                </a:lnTo>
                <a:lnTo>
                  <a:pt x="381000" y="0"/>
                </a:lnTo>
                <a:lnTo>
                  <a:pt x="381000" y="275844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/>
        </xdr:nvSpPr>
        <xdr:spPr>
          <a:xfrm>
            <a:off x="72669" y="82867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0017"/>
                </a:lnTo>
                <a:lnTo>
                  <a:pt x="12192" y="90017"/>
                </a:lnTo>
                <a:lnTo>
                  <a:pt x="12192" y="18288"/>
                </a:lnTo>
                <a:lnTo>
                  <a:pt x="59537" y="90017"/>
                </a:lnTo>
                <a:lnTo>
                  <a:pt x="71729" y="90017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0668"/>
                </a:lnTo>
                <a:lnTo>
                  <a:pt x="154114" y="8636"/>
                </a:lnTo>
                <a:lnTo>
                  <a:pt x="154114" y="35052"/>
                </a:lnTo>
                <a:lnTo>
                  <a:pt x="154114" y="56489"/>
                </a:lnTo>
                <a:lnTo>
                  <a:pt x="152590" y="62585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46494" y="16764"/>
                </a:lnTo>
                <a:lnTo>
                  <a:pt x="149542" y="22860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8636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0017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3921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175</xdr:row>
      <xdr:rowOff>-1</xdr:rowOff>
    </xdr:from>
    <xdr:ext cx="381000" cy="274320"/>
    <xdr:grpSp>
      <xdr:nvGrpSpPr>
        <xdr:cNvPr id="76" name="Group 76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GrpSpPr/>
      </xdr:nvGrpSpPr>
      <xdr:grpSpPr>
        <a:xfrm>
          <a:off x="5010150" y="62684024"/>
          <a:ext cx="381000" cy="274320"/>
          <a:chOff x="0" y="0"/>
          <a:chExt cx="381000" cy="274320"/>
        </a:xfrm>
      </xdr:grpSpPr>
      <xdr:sp macro="" textlink="">
        <xdr:nvSpPr>
          <xdr:cNvPr id="77" name="Shape 77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/>
        </xdr:nvSpPr>
        <xdr:spPr>
          <a:xfrm>
            <a:off x="72669" y="80682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29044"/>
                </a:lnTo>
                <a:lnTo>
                  <a:pt x="163360" y="22948"/>
                </a:lnTo>
                <a:lnTo>
                  <a:pt x="161836" y="16852"/>
                </a:lnTo>
                <a:lnTo>
                  <a:pt x="157162" y="12280"/>
                </a:lnTo>
                <a:lnTo>
                  <a:pt x="155638" y="10756"/>
                </a:lnTo>
                <a:lnTo>
                  <a:pt x="154114" y="9232"/>
                </a:lnTo>
                <a:lnTo>
                  <a:pt x="154114" y="35140"/>
                </a:lnTo>
                <a:lnTo>
                  <a:pt x="154114" y="58102"/>
                </a:lnTo>
                <a:lnTo>
                  <a:pt x="151066" y="67246"/>
                </a:lnTo>
                <a:lnTo>
                  <a:pt x="148018" y="70294"/>
                </a:lnTo>
                <a:lnTo>
                  <a:pt x="146494" y="73342"/>
                </a:lnTo>
                <a:lnTo>
                  <a:pt x="143446" y="76390"/>
                </a:lnTo>
                <a:lnTo>
                  <a:pt x="140398" y="77914"/>
                </a:lnTo>
                <a:lnTo>
                  <a:pt x="137350" y="77914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56"/>
                </a:lnTo>
                <a:lnTo>
                  <a:pt x="135826" y="10756"/>
                </a:lnTo>
                <a:lnTo>
                  <a:pt x="138874" y="12280"/>
                </a:lnTo>
                <a:lnTo>
                  <a:pt x="143446" y="13804"/>
                </a:lnTo>
                <a:lnTo>
                  <a:pt x="152590" y="27520"/>
                </a:lnTo>
                <a:lnTo>
                  <a:pt x="154114" y="35140"/>
                </a:lnTo>
                <a:lnTo>
                  <a:pt x="154114" y="9232"/>
                </a:lnTo>
                <a:lnTo>
                  <a:pt x="149542" y="4660"/>
                </a:lnTo>
                <a:lnTo>
                  <a:pt x="144970" y="1612"/>
                </a:lnTo>
                <a:lnTo>
                  <a:pt x="138874" y="1612"/>
                </a:lnTo>
                <a:lnTo>
                  <a:pt x="135826" y="88"/>
                </a:lnTo>
                <a:lnTo>
                  <a:pt x="91541" y="88"/>
                </a:lnTo>
                <a:lnTo>
                  <a:pt x="91541" y="91630"/>
                </a:lnTo>
                <a:lnTo>
                  <a:pt x="129730" y="91630"/>
                </a:lnTo>
                <a:lnTo>
                  <a:pt x="135826" y="90106"/>
                </a:lnTo>
                <a:lnTo>
                  <a:pt x="138874" y="88582"/>
                </a:lnTo>
                <a:lnTo>
                  <a:pt x="143446" y="88582"/>
                </a:lnTo>
                <a:lnTo>
                  <a:pt x="148018" y="87058"/>
                </a:lnTo>
                <a:lnTo>
                  <a:pt x="151066" y="85534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2674"/>
                </a:lnTo>
                <a:lnTo>
                  <a:pt x="166408" y="58102"/>
                </a:lnTo>
                <a:lnTo>
                  <a:pt x="167932" y="52006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177</xdr:row>
      <xdr:rowOff>0</xdr:rowOff>
    </xdr:from>
    <xdr:ext cx="381000" cy="274320"/>
    <xdr:grpSp>
      <xdr:nvGrpSpPr>
        <xdr:cNvPr id="79" name="Group 79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GrpSpPr/>
      </xdr:nvGrpSpPr>
      <xdr:grpSpPr>
        <a:xfrm>
          <a:off x="5010150" y="63369825"/>
          <a:ext cx="381000" cy="274320"/>
          <a:chOff x="0" y="0"/>
          <a:chExt cx="381000" cy="274320"/>
        </a:xfrm>
      </xdr:grpSpPr>
      <xdr:sp macro="" textlink="">
        <xdr:nvSpPr>
          <xdr:cNvPr id="80" name="Shape 80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/>
        </xdr:nvSpPr>
        <xdr:spPr>
          <a:xfrm>
            <a:off x="72669" y="80009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13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766"/>
                </a:moveTo>
                <a:lnTo>
                  <a:pt x="166408" y="29057"/>
                </a:lnTo>
                <a:lnTo>
                  <a:pt x="163360" y="22961"/>
                </a:lnTo>
                <a:lnTo>
                  <a:pt x="161836" y="16865"/>
                </a:lnTo>
                <a:lnTo>
                  <a:pt x="157162" y="12293"/>
                </a:lnTo>
                <a:lnTo>
                  <a:pt x="155638" y="10769"/>
                </a:lnTo>
                <a:lnTo>
                  <a:pt x="154114" y="9245"/>
                </a:lnTo>
                <a:lnTo>
                  <a:pt x="154114" y="35242"/>
                </a:lnTo>
                <a:lnTo>
                  <a:pt x="154114" y="58102"/>
                </a:lnTo>
                <a:lnTo>
                  <a:pt x="151066" y="67246"/>
                </a:lnTo>
                <a:lnTo>
                  <a:pt x="148018" y="71818"/>
                </a:lnTo>
                <a:lnTo>
                  <a:pt x="143446" y="76390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69"/>
                </a:lnTo>
                <a:lnTo>
                  <a:pt x="135826" y="10769"/>
                </a:lnTo>
                <a:lnTo>
                  <a:pt x="138874" y="12293"/>
                </a:lnTo>
                <a:lnTo>
                  <a:pt x="143446" y="13817"/>
                </a:lnTo>
                <a:lnTo>
                  <a:pt x="152590" y="27533"/>
                </a:lnTo>
                <a:lnTo>
                  <a:pt x="154114" y="35242"/>
                </a:lnTo>
                <a:lnTo>
                  <a:pt x="154114" y="9245"/>
                </a:lnTo>
                <a:lnTo>
                  <a:pt x="149542" y="4673"/>
                </a:lnTo>
                <a:lnTo>
                  <a:pt x="144970" y="3149"/>
                </a:lnTo>
                <a:lnTo>
                  <a:pt x="138874" y="1625"/>
                </a:lnTo>
                <a:lnTo>
                  <a:pt x="135826" y="101"/>
                </a:lnTo>
                <a:lnTo>
                  <a:pt x="91541" y="101"/>
                </a:lnTo>
                <a:lnTo>
                  <a:pt x="91541" y="91630"/>
                </a:lnTo>
                <a:lnTo>
                  <a:pt x="129730" y="91630"/>
                </a:lnTo>
                <a:lnTo>
                  <a:pt x="135826" y="90106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1066" y="85534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4884" y="64198"/>
                </a:lnTo>
                <a:lnTo>
                  <a:pt x="167932" y="52006"/>
                </a:lnTo>
                <a:lnTo>
                  <a:pt x="167932" y="3676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179</xdr:row>
      <xdr:rowOff>2</xdr:rowOff>
    </xdr:from>
    <xdr:ext cx="381000" cy="274320"/>
    <xdr:grpSp>
      <xdr:nvGrpSpPr>
        <xdr:cNvPr id="82" name="Group 82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GrpSpPr/>
      </xdr:nvGrpSpPr>
      <xdr:grpSpPr>
        <a:xfrm>
          <a:off x="5010150" y="64046102"/>
          <a:ext cx="381000" cy="274320"/>
          <a:chOff x="0" y="0"/>
          <a:chExt cx="381000" cy="274320"/>
        </a:xfrm>
      </xdr:grpSpPr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/>
        </xdr:nvSpPr>
        <xdr:spPr>
          <a:xfrm>
            <a:off x="72669" y="80962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13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77"/>
                </a:moveTo>
                <a:lnTo>
                  <a:pt x="166408" y="30581"/>
                </a:lnTo>
                <a:lnTo>
                  <a:pt x="163360" y="24485"/>
                </a:lnTo>
                <a:lnTo>
                  <a:pt x="161836" y="16865"/>
                </a:lnTo>
                <a:lnTo>
                  <a:pt x="157162" y="12293"/>
                </a:lnTo>
                <a:lnTo>
                  <a:pt x="155638" y="10769"/>
                </a:lnTo>
                <a:lnTo>
                  <a:pt x="154114" y="9245"/>
                </a:lnTo>
                <a:lnTo>
                  <a:pt x="154114" y="35153"/>
                </a:lnTo>
                <a:lnTo>
                  <a:pt x="154114" y="58013"/>
                </a:lnTo>
                <a:lnTo>
                  <a:pt x="151066" y="67157"/>
                </a:lnTo>
                <a:lnTo>
                  <a:pt x="148018" y="71818"/>
                </a:lnTo>
                <a:lnTo>
                  <a:pt x="146494" y="74866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69"/>
                </a:lnTo>
                <a:lnTo>
                  <a:pt x="129730" y="10769"/>
                </a:lnTo>
                <a:lnTo>
                  <a:pt x="135826" y="12293"/>
                </a:lnTo>
                <a:lnTo>
                  <a:pt x="138874" y="12293"/>
                </a:lnTo>
                <a:lnTo>
                  <a:pt x="154114" y="35153"/>
                </a:lnTo>
                <a:lnTo>
                  <a:pt x="154114" y="9245"/>
                </a:lnTo>
                <a:lnTo>
                  <a:pt x="149542" y="4673"/>
                </a:lnTo>
                <a:lnTo>
                  <a:pt x="144970" y="3149"/>
                </a:lnTo>
                <a:lnTo>
                  <a:pt x="138874" y="1625"/>
                </a:lnTo>
                <a:lnTo>
                  <a:pt x="135826" y="101"/>
                </a:lnTo>
                <a:lnTo>
                  <a:pt x="91541" y="101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4114" y="84010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4109"/>
                </a:lnTo>
                <a:lnTo>
                  <a:pt x="167932" y="51917"/>
                </a:lnTo>
                <a:lnTo>
                  <a:pt x="167932" y="36677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0</xdr:col>
      <xdr:colOff>179831</xdr:colOff>
      <xdr:row>197</xdr:row>
      <xdr:rowOff>-1</xdr:rowOff>
    </xdr:from>
    <xdr:ext cx="7426959" cy="548640"/>
    <xdr:grpSp>
      <xdr:nvGrpSpPr>
        <xdr:cNvPr id="85" name="Group 85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GrpSpPr/>
      </xdr:nvGrpSpPr>
      <xdr:grpSpPr>
        <a:xfrm>
          <a:off x="179831" y="70037324"/>
          <a:ext cx="7426959" cy="548640"/>
          <a:chOff x="0" y="0"/>
          <a:chExt cx="7426959" cy="548640"/>
        </a:xfrm>
      </xdr:grpSpPr>
      <xdr:sp macro="" textlink="">
        <xdr:nvSpPr>
          <xdr:cNvPr id="86" name="Shape 86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87" name="image4.png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88" name="Shape 88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89" name="Shape 89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/>
        </xdr:nvSpPr>
        <xdr:spPr>
          <a:xfrm>
            <a:off x="0" y="274319"/>
            <a:ext cx="4799330" cy="274320"/>
          </a:xfrm>
          <a:custGeom>
            <a:avLst/>
            <a:gdLst/>
            <a:ahLst/>
            <a:cxnLst/>
            <a:rect l="0" t="0" r="0" b="0"/>
            <a:pathLst>
              <a:path w="4799330" h="27432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274320"/>
                </a:lnTo>
                <a:lnTo>
                  <a:pt x="4799076" y="27432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3</xdr:col>
      <xdr:colOff>0</xdr:colOff>
      <xdr:row>182</xdr:row>
      <xdr:rowOff>1</xdr:rowOff>
    </xdr:from>
    <xdr:ext cx="381000" cy="274320"/>
    <xdr:grpSp>
      <xdr:nvGrpSpPr>
        <xdr:cNvPr id="90" name="Group 90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GrpSpPr/>
      </xdr:nvGrpSpPr>
      <xdr:grpSpPr>
        <a:xfrm>
          <a:off x="5010150" y="65341501"/>
          <a:ext cx="381000" cy="274320"/>
          <a:chOff x="0" y="0"/>
          <a:chExt cx="381000" cy="274320"/>
        </a:xfrm>
      </xdr:grpSpPr>
      <xdr:sp macro="" textlink="">
        <xdr:nvSpPr>
          <xdr:cNvPr id="91" name="Shape 91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92" name="Shape 92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/>
        </xdr:nvSpPr>
        <xdr:spPr>
          <a:xfrm>
            <a:off x="72669" y="80200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541"/>
                </a:lnTo>
                <a:lnTo>
                  <a:pt x="12192" y="91541"/>
                </a:lnTo>
                <a:lnTo>
                  <a:pt x="12192" y="19812"/>
                </a:lnTo>
                <a:lnTo>
                  <a:pt x="59537" y="91541"/>
                </a:lnTo>
                <a:lnTo>
                  <a:pt x="71729" y="91541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30480"/>
                </a:lnTo>
                <a:lnTo>
                  <a:pt x="163360" y="24384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7912"/>
                </a:lnTo>
                <a:lnTo>
                  <a:pt x="151066" y="67056"/>
                </a:lnTo>
                <a:lnTo>
                  <a:pt x="148018" y="71729"/>
                </a:lnTo>
                <a:lnTo>
                  <a:pt x="146494" y="74777"/>
                </a:lnTo>
                <a:lnTo>
                  <a:pt x="137350" y="79349"/>
                </a:lnTo>
                <a:lnTo>
                  <a:pt x="134302" y="79349"/>
                </a:lnTo>
                <a:lnTo>
                  <a:pt x="129730" y="80873"/>
                </a:lnTo>
                <a:lnTo>
                  <a:pt x="103822" y="80873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219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41"/>
                </a:lnTo>
                <a:lnTo>
                  <a:pt x="135826" y="91541"/>
                </a:lnTo>
                <a:lnTo>
                  <a:pt x="138874" y="90017"/>
                </a:lnTo>
                <a:lnTo>
                  <a:pt x="148018" y="86969"/>
                </a:lnTo>
                <a:lnTo>
                  <a:pt x="154114" y="83921"/>
                </a:lnTo>
                <a:lnTo>
                  <a:pt x="155638" y="80873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4008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185</xdr:row>
      <xdr:rowOff>0</xdr:rowOff>
    </xdr:from>
    <xdr:ext cx="381000" cy="274320"/>
    <xdr:grpSp>
      <xdr:nvGrpSpPr>
        <xdr:cNvPr id="93" name="Group 93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pSpPr/>
      </xdr:nvGrpSpPr>
      <xdr:grpSpPr>
        <a:xfrm>
          <a:off x="5010150" y="66017775"/>
          <a:ext cx="381000" cy="274320"/>
          <a:chOff x="0" y="0"/>
          <a:chExt cx="381000" cy="274320"/>
        </a:xfrm>
      </xdr:grpSpPr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19"/>
                </a:moveTo>
                <a:lnTo>
                  <a:pt x="0" y="274319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19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/>
        </xdr:nvSpPr>
        <xdr:spPr>
          <a:xfrm>
            <a:off x="72669" y="81063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8188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8376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6664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4302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3716"/>
                </a:lnTo>
                <a:lnTo>
                  <a:pt x="143446" y="15328"/>
                </a:lnTo>
                <a:lnTo>
                  <a:pt x="146494" y="18376"/>
                </a:lnTo>
                <a:lnTo>
                  <a:pt x="149542" y="22948"/>
                </a:lnTo>
                <a:lnTo>
                  <a:pt x="152590" y="29044"/>
                </a:lnTo>
                <a:lnTo>
                  <a:pt x="154114" y="36664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1524"/>
                </a:lnTo>
                <a:lnTo>
                  <a:pt x="131254" y="0"/>
                </a:lnTo>
                <a:lnTo>
                  <a:pt x="91541" y="0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3446" y="88582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7812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8188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187</xdr:row>
      <xdr:rowOff>-2</xdr:rowOff>
    </xdr:from>
    <xdr:ext cx="381000" cy="274320"/>
    <xdr:grpSp>
      <xdr:nvGrpSpPr>
        <xdr:cNvPr id="96" name="Group 96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5010150" y="66703573"/>
          <a:ext cx="381000" cy="274320"/>
          <a:chOff x="0" y="0"/>
          <a:chExt cx="381000" cy="274320"/>
        </a:xfrm>
      </xdr:grpSpPr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72669" y="82016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0205"/>
                </a:lnTo>
                <a:lnTo>
                  <a:pt x="12192" y="0"/>
                </a:lnTo>
                <a:lnTo>
                  <a:pt x="0" y="0"/>
                </a:lnTo>
                <a:lnTo>
                  <a:pt x="0" y="90017"/>
                </a:lnTo>
                <a:lnTo>
                  <a:pt x="12192" y="90017"/>
                </a:lnTo>
                <a:lnTo>
                  <a:pt x="12192" y="18288"/>
                </a:lnTo>
                <a:lnTo>
                  <a:pt x="59537" y="90017"/>
                </a:lnTo>
                <a:lnTo>
                  <a:pt x="71729" y="90017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0668"/>
                </a:lnTo>
                <a:lnTo>
                  <a:pt x="154114" y="8636"/>
                </a:lnTo>
                <a:lnTo>
                  <a:pt x="154114" y="35052"/>
                </a:lnTo>
                <a:lnTo>
                  <a:pt x="154114" y="56476"/>
                </a:lnTo>
                <a:lnTo>
                  <a:pt x="152590" y="61048"/>
                </a:lnTo>
                <a:lnTo>
                  <a:pt x="151066" y="67144"/>
                </a:lnTo>
                <a:lnTo>
                  <a:pt x="148018" y="70192"/>
                </a:lnTo>
                <a:lnTo>
                  <a:pt x="146494" y="73240"/>
                </a:lnTo>
                <a:lnTo>
                  <a:pt x="134302" y="79336"/>
                </a:lnTo>
                <a:lnTo>
                  <a:pt x="103822" y="79336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46494" y="16764"/>
                </a:lnTo>
                <a:lnTo>
                  <a:pt x="149542" y="22860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8636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0"/>
                </a:lnTo>
                <a:lnTo>
                  <a:pt x="91541" y="0"/>
                </a:lnTo>
                <a:lnTo>
                  <a:pt x="91541" y="90017"/>
                </a:lnTo>
                <a:lnTo>
                  <a:pt x="135826" y="90017"/>
                </a:lnTo>
                <a:lnTo>
                  <a:pt x="138874" y="88480"/>
                </a:lnTo>
                <a:lnTo>
                  <a:pt x="148018" y="85432"/>
                </a:lnTo>
                <a:lnTo>
                  <a:pt x="154114" y="82384"/>
                </a:lnTo>
                <a:lnTo>
                  <a:pt x="155638" y="79336"/>
                </a:lnTo>
                <a:lnTo>
                  <a:pt x="158788" y="76288"/>
                </a:lnTo>
                <a:lnTo>
                  <a:pt x="161836" y="71716"/>
                </a:lnTo>
                <a:lnTo>
                  <a:pt x="163360" y="68668"/>
                </a:lnTo>
                <a:lnTo>
                  <a:pt x="164884" y="62572"/>
                </a:lnTo>
                <a:lnTo>
                  <a:pt x="166408" y="58000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189</xdr:row>
      <xdr:rowOff>0</xdr:rowOff>
    </xdr:from>
    <xdr:ext cx="381000" cy="276225"/>
    <xdr:grpSp>
      <xdr:nvGrpSpPr>
        <xdr:cNvPr id="99" name="Group 99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GrpSpPr/>
      </xdr:nvGrpSpPr>
      <xdr:grpSpPr>
        <a:xfrm>
          <a:off x="5010150" y="67379850"/>
          <a:ext cx="381000" cy="276225"/>
          <a:chOff x="0" y="0"/>
          <a:chExt cx="381000" cy="276225"/>
        </a:xfrm>
      </xdr:grpSpPr>
      <xdr:sp macro="" textlink="">
        <xdr:nvSpPr>
          <xdr:cNvPr id="100" name="Shape 100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/>
        </xdr:nvSpPr>
        <xdr:spPr>
          <a:xfrm>
            <a:off x="0" y="0"/>
            <a:ext cx="381000" cy="276225"/>
          </a:xfrm>
          <a:custGeom>
            <a:avLst/>
            <a:gdLst/>
            <a:ahLst/>
            <a:cxnLst/>
            <a:rect l="0" t="0" r="0" b="0"/>
            <a:pathLst>
              <a:path w="381000" h="276225">
                <a:moveTo>
                  <a:pt x="381000" y="275844"/>
                </a:moveTo>
                <a:lnTo>
                  <a:pt x="0" y="275844"/>
                </a:lnTo>
                <a:lnTo>
                  <a:pt x="0" y="0"/>
                </a:lnTo>
                <a:lnTo>
                  <a:pt x="381000" y="0"/>
                </a:lnTo>
                <a:lnTo>
                  <a:pt x="381000" y="275844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01" name="Shape 101">
            <a:extLst>
              <a:ext uri="{FF2B5EF4-FFF2-40B4-BE49-F238E27FC236}">
                <a16:creationId xmlns:a16="http://schemas.microsoft.com/office/drawing/2014/main" id="{00000000-0008-0000-0100-000065000000}"/>
              </a:ext>
            </a:extLst>
          </xdr:cNvPr>
          <xdr:cNvSpPr/>
        </xdr:nvSpPr>
        <xdr:spPr>
          <a:xfrm>
            <a:off x="72669" y="82867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0017"/>
                </a:lnTo>
                <a:lnTo>
                  <a:pt x="12192" y="90017"/>
                </a:lnTo>
                <a:lnTo>
                  <a:pt x="12192" y="18288"/>
                </a:lnTo>
                <a:lnTo>
                  <a:pt x="59537" y="90017"/>
                </a:lnTo>
                <a:lnTo>
                  <a:pt x="71729" y="90017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0668"/>
                </a:lnTo>
                <a:lnTo>
                  <a:pt x="154114" y="8636"/>
                </a:lnTo>
                <a:lnTo>
                  <a:pt x="154114" y="35052"/>
                </a:lnTo>
                <a:lnTo>
                  <a:pt x="154114" y="56489"/>
                </a:lnTo>
                <a:lnTo>
                  <a:pt x="152590" y="62585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46494" y="16764"/>
                </a:lnTo>
                <a:lnTo>
                  <a:pt x="149542" y="22860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8636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0017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3921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191</xdr:row>
      <xdr:rowOff>2</xdr:rowOff>
    </xdr:from>
    <xdr:ext cx="381000" cy="274320"/>
    <xdr:grpSp>
      <xdr:nvGrpSpPr>
        <xdr:cNvPr id="102" name="Group 102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GrpSpPr/>
      </xdr:nvGrpSpPr>
      <xdr:grpSpPr>
        <a:xfrm>
          <a:off x="5010150" y="68075177"/>
          <a:ext cx="381000" cy="274320"/>
          <a:chOff x="0" y="0"/>
          <a:chExt cx="381000" cy="274320"/>
        </a:xfrm>
      </xdr:grpSpPr>
      <xdr:sp macro="" textlink="">
        <xdr:nvSpPr>
          <xdr:cNvPr id="103" name="Shape 103">
            <a:extLst>
              <a:ext uri="{FF2B5EF4-FFF2-40B4-BE49-F238E27FC236}">
                <a16:creationId xmlns:a16="http://schemas.microsoft.com/office/drawing/2014/main" id="{00000000-0008-0000-0100-000067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04" name="Shape 104">
            <a:extLst>
              <a:ext uri="{FF2B5EF4-FFF2-40B4-BE49-F238E27FC236}">
                <a16:creationId xmlns:a16="http://schemas.microsoft.com/office/drawing/2014/main" id="{00000000-0008-0000-0100-000068000000}"/>
              </a:ext>
            </a:extLst>
          </xdr:cNvPr>
          <xdr:cNvSpPr/>
        </xdr:nvSpPr>
        <xdr:spPr>
          <a:xfrm>
            <a:off x="72669" y="8077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541"/>
                </a:lnTo>
                <a:lnTo>
                  <a:pt x="12192" y="91541"/>
                </a:lnTo>
                <a:lnTo>
                  <a:pt x="12192" y="19812"/>
                </a:lnTo>
                <a:lnTo>
                  <a:pt x="59537" y="91541"/>
                </a:lnTo>
                <a:lnTo>
                  <a:pt x="71729" y="91541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7912"/>
                </a:lnTo>
                <a:lnTo>
                  <a:pt x="152590" y="62484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43446" y="76301"/>
                </a:lnTo>
                <a:lnTo>
                  <a:pt x="140398" y="77825"/>
                </a:lnTo>
                <a:lnTo>
                  <a:pt x="137350" y="77825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41"/>
                </a:lnTo>
                <a:lnTo>
                  <a:pt x="129730" y="91541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5445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484"/>
                </a:lnTo>
                <a:lnTo>
                  <a:pt x="166408" y="57912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193</xdr:row>
      <xdr:rowOff>-2</xdr:rowOff>
    </xdr:from>
    <xdr:ext cx="381000" cy="274320"/>
    <xdr:grpSp>
      <xdr:nvGrpSpPr>
        <xdr:cNvPr id="105" name="Group 105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GrpSpPr/>
      </xdr:nvGrpSpPr>
      <xdr:grpSpPr>
        <a:xfrm>
          <a:off x="5010150" y="68760973"/>
          <a:ext cx="381000" cy="274320"/>
          <a:chOff x="0" y="0"/>
          <a:chExt cx="381000" cy="274320"/>
        </a:xfrm>
      </xdr:grpSpPr>
      <xdr:sp macro="" textlink="">
        <xdr:nvSpPr>
          <xdr:cNvPr id="106" name="Shape 106">
            <a:extLst>
              <a:ext uri="{FF2B5EF4-FFF2-40B4-BE49-F238E27FC236}">
                <a16:creationId xmlns:a16="http://schemas.microsoft.com/office/drawing/2014/main" id="{00000000-0008-0000-0100-00006A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SpPr/>
        </xdr:nvSpPr>
        <xdr:spPr>
          <a:xfrm>
            <a:off x="72669" y="8011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528"/>
                </a:lnTo>
                <a:lnTo>
                  <a:pt x="12192" y="91528"/>
                </a:lnTo>
                <a:lnTo>
                  <a:pt x="12192" y="19812"/>
                </a:lnTo>
                <a:lnTo>
                  <a:pt x="59537" y="91528"/>
                </a:lnTo>
                <a:lnTo>
                  <a:pt x="71729" y="91528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3446" y="76288"/>
                </a:lnTo>
                <a:lnTo>
                  <a:pt x="137350" y="79336"/>
                </a:lnTo>
                <a:lnTo>
                  <a:pt x="134302" y="79336"/>
                </a:lnTo>
                <a:lnTo>
                  <a:pt x="129730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52590" y="27432"/>
                </a:lnTo>
                <a:lnTo>
                  <a:pt x="154114" y="35140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28"/>
                </a:lnTo>
                <a:lnTo>
                  <a:pt x="129730" y="91528"/>
                </a:lnTo>
                <a:lnTo>
                  <a:pt x="135826" y="90004"/>
                </a:lnTo>
                <a:lnTo>
                  <a:pt x="138874" y="90004"/>
                </a:lnTo>
                <a:lnTo>
                  <a:pt x="148018" y="86956"/>
                </a:lnTo>
                <a:lnTo>
                  <a:pt x="151066" y="85432"/>
                </a:lnTo>
                <a:lnTo>
                  <a:pt x="155638" y="80860"/>
                </a:lnTo>
                <a:lnTo>
                  <a:pt x="158788" y="76288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195</xdr:row>
      <xdr:rowOff>0</xdr:rowOff>
    </xdr:from>
    <xdr:ext cx="381000" cy="274320"/>
    <xdr:grpSp>
      <xdr:nvGrpSpPr>
        <xdr:cNvPr id="108" name="Group 108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GrpSpPr/>
      </xdr:nvGrpSpPr>
      <xdr:grpSpPr>
        <a:xfrm>
          <a:off x="5010150" y="69437250"/>
          <a:ext cx="381000" cy="274320"/>
          <a:chOff x="0" y="0"/>
          <a:chExt cx="381000" cy="274320"/>
        </a:xfrm>
      </xdr:grpSpPr>
      <xdr:sp macro="" textlink="">
        <xdr:nvSpPr>
          <xdr:cNvPr id="109" name="Shape 109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10" name="Shape 110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SpPr/>
        </xdr:nvSpPr>
        <xdr:spPr>
          <a:xfrm>
            <a:off x="72669" y="81064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528"/>
                </a:lnTo>
                <a:lnTo>
                  <a:pt x="12192" y="91528"/>
                </a:lnTo>
                <a:lnTo>
                  <a:pt x="12192" y="19812"/>
                </a:lnTo>
                <a:lnTo>
                  <a:pt x="59537" y="91528"/>
                </a:lnTo>
                <a:lnTo>
                  <a:pt x="71729" y="91528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30480"/>
                </a:lnTo>
                <a:lnTo>
                  <a:pt x="163360" y="24384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7912"/>
                </a:lnTo>
                <a:lnTo>
                  <a:pt x="151066" y="67056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7350" y="79336"/>
                </a:lnTo>
                <a:lnTo>
                  <a:pt x="134302" y="79336"/>
                </a:lnTo>
                <a:lnTo>
                  <a:pt x="129730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219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28"/>
                </a:lnTo>
                <a:lnTo>
                  <a:pt x="135826" y="91528"/>
                </a:lnTo>
                <a:lnTo>
                  <a:pt x="138874" y="90004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6288"/>
                </a:lnTo>
                <a:lnTo>
                  <a:pt x="161836" y="73240"/>
                </a:lnTo>
                <a:lnTo>
                  <a:pt x="163360" y="68668"/>
                </a:lnTo>
                <a:lnTo>
                  <a:pt x="164884" y="64008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0</xdr:col>
      <xdr:colOff>179831</xdr:colOff>
      <xdr:row>212</xdr:row>
      <xdr:rowOff>143512</xdr:rowOff>
    </xdr:from>
    <xdr:ext cx="7426959" cy="548640"/>
    <xdr:grpSp>
      <xdr:nvGrpSpPr>
        <xdr:cNvPr id="111" name="Group 11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GrpSpPr/>
      </xdr:nvGrpSpPr>
      <xdr:grpSpPr>
        <a:xfrm>
          <a:off x="179831" y="75295762"/>
          <a:ext cx="7426959" cy="548640"/>
          <a:chOff x="0" y="0"/>
          <a:chExt cx="7426959" cy="548640"/>
        </a:xfrm>
      </xdr:grpSpPr>
      <xdr:sp macro="" textlink="">
        <xdr:nvSpPr>
          <xdr:cNvPr id="112" name="Shape 112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113" name="image4.png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114" name="Shape 114">
            <a:extLst>
              <a:ext uri="{FF2B5EF4-FFF2-40B4-BE49-F238E27FC236}">
                <a16:creationId xmlns:a16="http://schemas.microsoft.com/office/drawing/2014/main" id="{00000000-0008-0000-0100-000072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115" name="Shape 115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/>
        </xdr:nvSpPr>
        <xdr:spPr>
          <a:xfrm>
            <a:off x="0" y="274319"/>
            <a:ext cx="4799330" cy="274320"/>
          </a:xfrm>
          <a:custGeom>
            <a:avLst/>
            <a:gdLst/>
            <a:ahLst/>
            <a:cxnLst/>
            <a:rect l="0" t="0" r="0" b="0"/>
            <a:pathLst>
              <a:path w="4799330" h="27432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274320"/>
                </a:lnTo>
                <a:lnTo>
                  <a:pt x="4799076" y="27432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3</xdr:col>
      <xdr:colOff>0</xdr:colOff>
      <xdr:row>198</xdr:row>
      <xdr:rowOff>-1</xdr:rowOff>
    </xdr:from>
    <xdr:ext cx="381000" cy="274320"/>
    <xdr:grpSp>
      <xdr:nvGrpSpPr>
        <xdr:cNvPr id="116" name="Group 116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GrpSpPr/>
      </xdr:nvGrpSpPr>
      <xdr:grpSpPr>
        <a:xfrm>
          <a:off x="5010150" y="70589774"/>
          <a:ext cx="381000" cy="274320"/>
          <a:chOff x="0" y="0"/>
          <a:chExt cx="381000" cy="274320"/>
        </a:xfrm>
      </xdr:grpSpPr>
      <xdr:sp macro="" textlink="">
        <xdr:nvSpPr>
          <xdr:cNvPr id="117" name="Shape 117">
            <a:extLst>
              <a:ext uri="{FF2B5EF4-FFF2-40B4-BE49-F238E27FC236}">
                <a16:creationId xmlns:a16="http://schemas.microsoft.com/office/drawing/2014/main" id="{00000000-0008-0000-0100-000075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18" name="Shape 118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/>
        </xdr:nvSpPr>
        <xdr:spPr>
          <a:xfrm>
            <a:off x="72669" y="80200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541"/>
                </a:lnTo>
                <a:lnTo>
                  <a:pt x="12192" y="91541"/>
                </a:lnTo>
                <a:lnTo>
                  <a:pt x="12192" y="19812"/>
                </a:lnTo>
                <a:lnTo>
                  <a:pt x="59537" y="91541"/>
                </a:lnTo>
                <a:lnTo>
                  <a:pt x="71729" y="91541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30480"/>
                </a:lnTo>
                <a:lnTo>
                  <a:pt x="163360" y="24384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8013"/>
                </a:lnTo>
                <a:lnTo>
                  <a:pt x="151066" y="67157"/>
                </a:lnTo>
                <a:lnTo>
                  <a:pt x="148018" y="71729"/>
                </a:lnTo>
                <a:lnTo>
                  <a:pt x="146494" y="74777"/>
                </a:lnTo>
                <a:lnTo>
                  <a:pt x="137350" y="79349"/>
                </a:lnTo>
                <a:lnTo>
                  <a:pt x="134302" y="79349"/>
                </a:lnTo>
                <a:lnTo>
                  <a:pt x="129730" y="80873"/>
                </a:lnTo>
                <a:lnTo>
                  <a:pt x="103822" y="80873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219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41"/>
                </a:lnTo>
                <a:lnTo>
                  <a:pt x="135826" y="91541"/>
                </a:lnTo>
                <a:lnTo>
                  <a:pt x="138874" y="90017"/>
                </a:lnTo>
                <a:lnTo>
                  <a:pt x="148018" y="86969"/>
                </a:lnTo>
                <a:lnTo>
                  <a:pt x="154114" y="83921"/>
                </a:lnTo>
                <a:lnTo>
                  <a:pt x="155638" y="80873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4884" y="64109"/>
                </a:lnTo>
                <a:lnTo>
                  <a:pt x="167932" y="51917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200</xdr:row>
      <xdr:rowOff>1</xdr:rowOff>
    </xdr:from>
    <xdr:ext cx="381000" cy="274320"/>
    <xdr:grpSp>
      <xdr:nvGrpSpPr>
        <xdr:cNvPr id="119" name="Group 119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GrpSpPr/>
      </xdr:nvGrpSpPr>
      <xdr:grpSpPr>
        <a:xfrm>
          <a:off x="5010150" y="71266051"/>
          <a:ext cx="381000" cy="274320"/>
          <a:chOff x="0" y="0"/>
          <a:chExt cx="381000" cy="274320"/>
        </a:xfrm>
      </xdr:grpSpPr>
      <xdr:sp macro="" textlink="">
        <xdr:nvSpPr>
          <xdr:cNvPr id="120" name="Shape 120">
            <a:extLst>
              <a:ext uri="{FF2B5EF4-FFF2-40B4-BE49-F238E27FC236}">
                <a16:creationId xmlns:a16="http://schemas.microsoft.com/office/drawing/2014/main" id="{00000000-0008-0000-0100-000078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19"/>
                </a:moveTo>
                <a:lnTo>
                  <a:pt x="0" y="274319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19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21" name="Shape 121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/>
        </xdr:nvSpPr>
        <xdr:spPr>
          <a:xfrm>
            <a:off x="72669" y="81063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8188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8376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6664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4302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3716"/>
                </a:lnTo>
                <a:lnTo>
                  <a:pt x="143446" y="15328"/>
                </a:lnTo>
                <a:lnTo>
                  <a:pt x="146494" y="18376"/>
                </a:lnTo>
                <a:lnTo>
                  <a:pt x="149542" y="22948"/>
                </a:lnTo>
                <a:lnTo>
                  <a:pt x="152590" y="29044"/>
                </a:lnTo>
                <a:lnTo>
                  <a:pt x="154114" y="36664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1524"/>
                </a:lnTo>
                <a:lnTo>
                  <a:pt x="131254" y="0"/>
                </a:lnTo>
                <a:lnTo>
                  <a:pt x="91541" y="0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3446" y="88582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7812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8188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202</xdr:row>
      <xdr:rowOff>-1</xdr:rowOff>
    </xdr:from>
    <xdr:ext cx="381000" cy="274320"/>
    <xdr:grpSp>
      <xdr:nvGrpSpPr>
        <xdr:cNvPr id="122" name="Group 122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GrpSpPr/>
      </xdr:nvGrpSpPr>
      <xdr:grpSpPr>
        <a:xfrm>
          <a:off x="5010150" y="71951849"/>
          <a:ext cx="381000" cy="274320"/>
          <a:chOff x="0" y="0"/>
          <a:chExt cx="381000" cy="274320"/>
        </a:xfrm>
      </xdr:grpSpPr>
      <xdr:sp macro="" textlink="">
        <xdr:nvSpPr>
          <xdr:cNvPr id="123" name="Shape 123">
            <a:extLst>
              <a:ext uri="{FF2B5EF4-FFF2-40B4-BE49-F238E27FC236}">
                <a16:creationId xmlns:a16="http://schemas.microsoft.com/office/drawing/2014/main" id="{00000000-0008-0000-0100-00007B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24" name="Shape 124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/>
        </xdr:nvSpPr>
        <xdr:spPr>
          <a:xfrm>
            <a:off x="72669" y="81914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101"/>
                </a:moveTo>
                <a:lnTo>
                  <a:pt x="59537" y="101"/>
                </a:lnTo>
                <a:lnTo>
                  <a:pt x="59537" y="70307"/>
                </a:lnTo>
                <a:lnTo>
                  <a:pt x="12192" y="101"/>
                </a:lnTo>
                <a:lnTo>
                  <a:pt x="0" y="101"/>
                </a:lnTo>
                <a:lnTo>
                  <a:pt x="0" y="90119"/>
                </a:lnTo>
                <a:lnTo>
                  <a:pt x="12192" y="90119"/>
                </a:lnTo>
                <a:lnTo>
                  <a:pt x="12192" y="18389"/>
                </a:lnTo>
                <a:lnTo>
                  <a:pt x="59537" y="90119"/>
                </a:lnTo>
                <a:lnTo>
                  <a:pt x="71729" y="90119"/>
                </a:lnTo>
                <a:lnTo>
                  <a:pt x="71729" y="101"/>
                </a:lnTo>
                <a:close/>
              </a:path>
              <a:path w="168275" h="90170">
                <a:moveTo>
                  <a:pt x="167932" y="36677"/>
                </a:moveTo>
                <a:lnTo>
                  <a:pt x="166408" y="29057"/>
                </a:lnTo>
                <a:lnTo>
                  <a:pt x="163360" y="22961"/>
                </a:lnTo>
                <a:lnTo>
                  <a:pt x="161836" y="16865"/>
                </a:lnTo>
                <a:lnTo>
                  <a:pt x="157162" y="10769"/>
                </a:lnTo>
                <a:lnTo>
                  <a:pt x="154114" y="8737"/>
                </a:lnTo>
                <a:lnTo>
                  <a:pt x="154114" y="35153"/>
                </a:lnTo>
                <a:lnTo>
                  <a:pt x="154114" y="56489"/>
                </a:lnTo>
                <a:lnTo>
                  <a:pt x="152590" y="61061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43446" y="74866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69"/>
                </a:lnTo>
                <a:lnTo>
                  <a:pt x="135826" y="10769"/>
                </a:lnTo>
                <a:lnTo>
                  <a:pt x="138874" y="12293"/>
                </a:lnTo>
                <a:lnTo>
                  <a:pt x="143446" y="13817"/>
                </a:lnTo>
                <a:lnTo>
                  <a:pt x="146494" y="16865"/>
                </a:lnTo>
                <a:lnTo>
                  <a:pt x="149542" y="22961"/>
                </a:lnTo>
                <a:lnTo>
                  <a:pt x="152590" y="27533"/>
                </a:lnTo>
                <a:lnTo>
                  <a:pt x="154114" y="35153"/>
                </a:lnTo>
                <a:lnTo>
                  <a:pt x="154114" y="8737"/>
                </a:lnTo>
                <a:lnTo>
                  <a:pt x="152590" y="7721"/>
                </a:lnTo>
                <a:lnTo>
                  <a:pt x="149542" y="4673"/>
                </a:lnTo>
                <a:lnTo>
                  <a:pt x="144970" y="1625"/>
                </a:lnTo>
                <a:lnTo>
                  <a:pt x="138874" y="0"/>
                </a:lnTo>
                <a:lnTo>
                  <a:pt x="91541" y="0"/>
                </a:lnTo>
                <a:lnTo>
                  <a:pt x="91541" y="90119"/>
                </a:lnTo>
                <a:lnTo>
                  <a:pt x="135826" y="90119"/>
                </a:lnTo>
                <a:lnTo>
                  <a:pt x="138874" y="88582"/>
                </a:lnTo>
                <a:lnTo>
                  <a:pt x="148018" y="85534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1729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677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204</xdr:row>
      <xdr:rowOff>1</xdr:rowOff>
    </xdr:from>
    <xdr:ext cx="381000" cy="276225"/>
    <xdr:grpSp>
      <xdr:nvGrpSpPr>
        <xdr:cNvPr id="125" name="Group 125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GrpSpPr/>
      </xdr:nvGrpSpPr>
      <xdr:grpSpPr>
        <a:xfrm>
          <a:off x="5010150" y="72628126"/>
          <a:ext cx="381000" cy="276225"/>
          <a:chOff x="0" y="0"/>
          <a:chExt cx="381000" cy="276225"/>
        </a:xfrm>
      </xdr:grpSpPr>
      <xdr:sp macro="" textlink="">
        <xdr:nvSpPr>
          <xdr:cNvPr id="126" name="Shape 126">
            <a:extLst>
              <a:ext uri="{FF2B5EF4-FFF2-40B4-BE49-F238E27FC236}">
                <a16:creationId xmlns:a16="http://schemas.microsoft.com/office/drawing/2014/main" id="{00000000-0008-0000-0100-00007E000000}"/>
              </a:ext>
            </a:extLst>
          </xdr:cNvPr>
          <xdr:cNvSpPr/>
        </xdr:nvSpPr>
        <xdr:spPr>
          <a:xfrm>
            <a:off x="0" y="0"/>
            <a:ext cx="381000" cy="276225"/>
          </a:xfrm>
          <a:custGeom>
            <a:avLst/>
            <a:gdLst/>
            <a:ahLst/>
            <a:cxnLst/>
            <a:rect l="0" t="0" r="0" b="0"/>
            <a:pathLst>
              <a:path w="381000" h="276225">
                <a:moveTo>
                  <a:pt x="381000" y="275844"/>
                </a:moveTo>
                <a:lnTo>
                  <a:pt x="0" y="275844"/>
                </a:lnTo>
                <a:lnTo>
                  <a:pt x="0" y="0"/>
                </a:lnTo>
                <a:lnTo>
                  <a:pt x="381000" y="0"/>
                </a:lnTo>
                <a:lnTo>
                  <a:pt x="381000" y="275844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27" name="Shape 127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/>
        </xdr:nvSpPr>
        <xdr:spPr>
          <a:xfrm>
            <a:off x="72669" y="82867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0017"/>
                </a:lnTo>
                <a:lnTo>
                  <a:pt x="12192" y="90017"/>
                </a:lnTo>
                <a:lnTo>
                  <a:pt x="12192" y="18288"/>
                </a:lnTo>
                <a:lnTo>
                  <a:pt x="59537" y="90017"/>
                </a:lnTo>
                <a:lnTo>
                  <a:pt x="71729" y="90017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0668"/>
                </a:lnTo>
                <a:lnTo>
                  <a:pt x="154114" y="8636"/>
                </a:lnTo>
                <a:lnTo>
                  <a:pt x="154114" y="35052"/>
                </a:lnTo>
                <a:lnTo>
                  <a:pt x="154114" y="56489"/>
                </a:lnTo>
                <a:lnTo>
                  <a:pt x="152590" y="62585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46494" y="16764"/>
                </a:lnTo>
                <a:lnTo>
                  <a:pt x="149542" y="22860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8636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0017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3921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206</xdr:row>
      <xdr:rowOff>-2</xdr:rowOff>
    </xdr:from>
    <xdr:ext cx="381000" cy="274320"/>
    <xdr:grpSp>
      <xdr:nvGrpSpPr>
        <xdr:cNvPr id="128" name="Group 128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GrpSpPr/>
      </xdr:nvGrpSpPr>
      <xdr:grpSpPr>
        <a:xfrm>
          <a:off x="5010150" y="73323448"/>
          <a:ext cx="381000" cy="274320"/>
          <a:chOff x="0" y="0"/>
          <a:chExt cx="381000" cy="274320"/>
        </a:xfrm>
      </xdr:grpSpPr>
      <xdr:sp macro="" textlink="">
        <xdr:nvSpPr>
          <xdr:cNvPr id="129" name="Shape 129">
            <a:extLst>
              <a:ext uri="{FF2B5EF4-FFF2-40B4-BE49-F238E27FC236}">
                <a16:creationId xmlns:a16="http://schemas.microsoft.com/office/drawing/2014/main" id="{00000000-0008-0000-0100-000081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30" name="Shape 130">
            <a:extLst>
              <a:ext uri="{FF2B5EF4-FFF2-40B4-BE49-F238E27FC236}">
                <a16:creationId xmlns:a16="http://schemas.microsoft.com/office/drawing/2014/main" id="{00000000-0008-0000-0100-000082000000}"/>
              </a:ext>
            </a:extLst>
          </xdr:cNvPr>
          <xdr:cNvSpPr/>
        </xdr:nvSpPr>
        <xdr:spPr>
          <a:xfrm>
            <a:off x="72669" y="8077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541"/>
                </a:lnTo>
                <a:lnTo>
                  <a:pt x="12192" y="91541"/>
                </a:lnTo>
                <a:lnTo>
                  <a:pt x="12192" y="19812"/>
                </a:lnTo>
                <a:lnTo>
                  <a:pt x="59537" y="91541"/>
                </a:lnTo>
                <a:lnTo>
                  <a:pt x="71729" y="91541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7912"/>
                </a:lnTo>
                <a:lnTo>
                  <a:pt x="152590" y="62484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43446" y="76301"/>
                </a:lnTo>
                <a:lnTo>
                  <a:pt x="140398" y="77825"/>
                </a:lnTo>
                <a:lnTo>
                  <a:pt x="137350" y="77825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41"/>
                </a:lnTo>
                <a:lnTo>
                  <a:pt x="129730" y="91541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5445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484"/>
                </a:lnTo>
                <a:lnTo>
                  <a:pt x="166408" y="57912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208</xdr:row>
      <xdr:rowOff>-1</xdr:rowOff>
    </xdr:from>
    <xdr:ext cx="381000" cy="274320"/>
    <xdr:grpSp>
      <xdr:nvGrpSpPr>
        <xdr:cNvPr id="131" name="Group 13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GrpSpPr/>
      </xdr:nvGrpSpPr>
      <xdr:grpSpPr>
        <a:xfrm>
          <a:off x="5010150" y="74009249"/>
          <a:ext cx="381000" cy="274320"/>
          <a:chOff x="0" y="0"/>
          <a:chExt cx="381000" cy="274320"/>
        </a:xfrm>
      </xdr:grpSpPr>
      <xdr:sp macro="" textlink="">
        <xdr:nvSpPr>
          <xdr:cNvPr id="132" name="Shape 132">
            <a:extLst>
              <a:ext uri="{FF2B5EF4-FFF2-40B4-BE49-F238E27FC236}">
                <a16:creationId xmlns:a16="http://schemas.microsoft.com/office/drawing/2014/main" id="{00000000-0008-0000-0100-000084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33" name="Shape 133">
            <a:extLst>
              <a:ext uri="{FF2B5EF4-FFF2-40B4-BE49-F238E27FC236}">
                <a16:creationId xmlns:a16="http://schemas.microsoft.com/office/drawing/2014/main" id="{00000000-0008-0000-0100-000085000000}"/>
              </a:ext>
            </a:extLst>
          </xdr:cNvPr>
          <xdr:cNvSpPr/>
        </xdr:nvSpPr>
        <xdr:spPr>
          <a:xfrm>
            <a:off x="72669" y="8011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528"/>
                </a:lnTo>
                <a:lnTo>
                  <a:pt x="12192" y="91528"/>
                </a:lnTo>
                <a:lnTo>
                  <a:pt x="12192" y="19812"/>
                </a:lnTo>
                <a:lnTo>
                  <a:pt x="59537" y="91528"/>
                </a:lnTo>
                <a:lnTo>
                  <a:pt x="71729" y="91528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3446" y="76288"/>
                </a:lnTo>
                <a:lnTo>
                  <a:pt x="137350" y="79336"/>
                </a:lnTo>
                <a:lnTo>
                  <a:pt x="134302" y="79336"/>
                </a:lnTo>
                <a:lnTo>
                  <a:pt x="129730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52590" y="27432"/>
                </a:lnTo>
                <a:lnTo>
                  <a:pt x="154114" y="35140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28"/>
                </a:lnTo>
                <a:lnTo>
                  <a:pt x="129730" y="91528"/>
                </a:lnTo>
                <a:lnTo>
                  <a:pt x="135826" y="90004"/>
                </a:lnTo>
                <a:lnTo>
                  <a:pt x="138874" y="90004"/>
                </a:lnTo>
                <a:lnTo>
                  <a:pt x="148018" y="86956"/>
                </a:lnTo>
                <a:lnTo>
                  <a:pt x="151066" y="85432"/>
                </a:lnTo>
                <a:lnTo>
                  <a:pt x="155638" y="80860"/>
                </a:lnTo>
                <a:lnTo>
                  <a:pt x="158788" y="76288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210</xdr:row>
      <xdr:rowOff>1</xdr:rowOff>
    </xdr:from>
    <xdr:ext cx="381000" cy="274320"/>
    <xdr:grpSp>
      <xdr:nvGrpSpPr>
        <xdr:cNvPr id="134" name="Group 134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GrpSpPr/>
      </xdr:nvGrpSpPr>
      <xdr:grpSpPr>
        <a:xfrm>
          <a:off x="5010150" y="74685526"/>
          <a:ext cx="381000" cy="274320"/>
          <a:chOff x="0" y="0"/>
          <a:chExt cx="381000" cy="274320"/>
        </a:xfrm>
      </xdr:grpSpPr>
      <xdr:sp macro="" textlink="">
        <xdr:nvSpPr>
          <xdr:cNvPr id="135" name="Shape 135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36" name="Shape 136">
            <a:extLst>
              <a:ext uri="{FF2B5EF4-FFF2-40B4-BE49-F238E27FC236}">
                <a16:creationId xmlns:a16="http://schemas.microsoft.com/office/drawing/2014/main" id="{00000000-0008-0000-0100-000088000000}"/>
              </a:ext>
            </a:extLst>
          </xdr:cNvPr>
          <xdr:cNvSpPr/>
        </xdr:nvSpPr>
        <xdr:spPr>
          <a:xfrm>
            <a:off x="72669" y="81064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528"/>
                </a:lnTo>
                <a:lnTo>
                  <a:pt x="12192" y="91528"/>
                </a:lnTo>
                <a:lnTo>
                  <a:pt x="12192" y="19812"/>
                </a:lnTo>
                <a:lnTo>
                  <a:pt x="59537" y="91528"/>
                </a:lnTo>
                <a:lnTo>
                  <a:pt x="71729" y="91528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30480"/>
                </a:lnTo>
                <a:lnTo>
                  <a:pt x="163360" y="24384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7350" y="79336"/>
                </a:lnTo>
                <a:lnTo>
                  <a:pt x="134302" y="79336"/>
                </a:lnTo>
                <a:lnTo>
                  <a:pt x="129730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219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28"/>
                </a:lnTo>
                <a:lnTo>
                  <a:pt x="135826" y="91528"/>
                </a:lnTo>
                <a:lnTo>
                  <a:pt x="138874" y="90004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6288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0</xdr:col>
      <xdr:colOff>179831</xdr:colOff>
      <xdr:row>228</xdr:row>
      <xdr:rowOff>-2</xdr:rowOff>
    </xdr:from>
    <xdr:ext cx="7426959" cy="548640"/>
    <xdr:grpSp>
      <xdr:nvGrpSpPr>
        <xdr:cNvPr id="137" name="Group 137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GrpSpPr/>
      </xdr:nvGrpSpPr>
      <xdr:grpSpPr>
        <a:xfrm>
          <a:off x="179831" y="80581498"/>
          <a:ext cx="7426959" cy="548640"/>
          <a:chOff x="0" y="0"/>
          <a:chExt cx="7426959" cy="548640"/>
        </a:xfrm>
      </xdr:grpSpPr>
      <xdr:sp macro="" textlink="">
        <xdr:nvSpPr>
          <xdr:cNvPr id="138" name="Shape 138">
            <a:extLst>
              <a:ext uri="{FF2B5EF4-FFF2-40B4-BE49-F238E27FC236}">
                <a16:creationId xmlns:a16="http://schemas.microsoft.com/office/drawing/2014/main" id="{00000000-0008-0000-0100-00008A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139" name="image4.png">
            <a:extLst>
              <a:ext uri="{FF2B5EF4-FFF2-40B4-BE49-F238E27FC236}">
                <a16:creationId xmlns:a16="http://schemas.microsoft.com/office/drawing/2014/main" id="{00000000-0008-0000-0100-00008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140" name="Shape 140">
            <a:extLst>
              <a:ext uri="{FF2B5EF4-FFF2-40B4-BE49-F238E27FC236}">
                <a16:creationId xmlns:a16="http://schemas.microsoft.com/office/drawing/2014/main" id="{00000000-0008-0000-0100-00008C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141" name="Shape 141">
            <a:extLst>
              <a:ext uri="{FF2B5EF4-FFF2-40B4-BE49-F238E27FC236}">
                <a16:creationId xmlns:a16="http://schemas.microsoft.com/office/drawing/2014/main" id="{00000000-0008-0000-0100-00008D000000}"/>
              </a:ext>
            </a:extLst>
          </xdr:cNvPr>
          <xdr:cNvSpPr/>
        </xdr:nvSpPr>
        <xdr:spPr>
          <a:xfrm>
            <a:off x="0" y="274319"/>
            <a:ext cx="4799330" cy="274320"/>
          </a:xfrm>
          <a:custGeom>
            <a:avLst/>
            <a:gdLst/>
            <a:ahLst/>
            <a:cxnLst/>
            <a:rect l="0" t="0" r="0" b="0"/>
            <a:pathLst>
              <a:path w="4799330" h="27432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274320"/>
                </a:lnTo>
                <a:lnTo>
                  <a:pt x="4799076" y="27432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3</xdr:col>
      <xdr:colOff>0</xdr:colOff>
      <xdr:row>214</xdr:row>
      <xdr:rowOff>2</xdr:rowOff>
    </xdr:from>
    <xdr:ext cx="381000" cy="274320"/>
    <xdr:grpSp>
      <xdr:nvGrpSpPr>
        <xdr:cNvPr id="142" name="Group 142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GrpSpPr/>
      </xdr:nvGrpSpPr>
      <xdr:grpSpPr>
        <a:xfrm>
          <a:off x="5010150" y="75885677"/>
          <a:ext cx="381000" cy="274320"/>
          <a:chOff x="0" y="0"/>
          <a:chExt cx="381000" cy="274320"/>
        </a:xfrm>
      </xdr:grpSpPr>
      <xdr:sp macro="" textlink="">
        <xdr:nvSpPr>
          <xdr:cNvPr id="143" name="Shape 143">
            <a:extLst>
              <a:ext uri="{FF2B5EF4-FFF2-40B4-BE49-F238E27FC236}">
                <a16:creationId xmlns:a16="http://schemas.microsoft.com/office/drawing/2014/main" id="{00000000-0008-0000-0100-00008F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44" name="Shape 144">
            <a:extLst>
              <a:ext uri="{FF2B5EF4-FFF2-40B4-BE49-F238E27FC236}">
                <a16:creationId xmlns:a16="http://schemas.microsoft.com/office/drawing/2014/main" id="{00000000-0008-0000-0100-000090000000}"/>
              </a:ext>
            </a:extLst>
          </xdr:cNvPr>
          <xdr:cNvSpPr/>
        </xdr:nvSpPr>
        <xdr:spPr>
          <a:xfrm>
            <a:off x="72669" y="80200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541"/>
                </a:lnTo>
                <a:lnTo>
                  <a:pt x="12192" y="91541"/>
                </a:lnTo>
                <a:lnTo>
                  <a:pt x="12192" y="19812"/>
                </a:lnTo>
                <a:lnTo>
                  <a:pt x="59537" y="91541"/>
                </a:lnTo>
                <a:lnTo>
                  <a:pt x="71729" y="91541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30480"/>
                </a:lnTo>
                <a:lnTo>
                  <a:pt x="163360" y="24384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7912"/>
                </a:lnTo>
                <a:lnTo>
                  <a:pt x="151066" y="67056"/>
                </a:lnTo>
                <a:lnTo>
                  <a:pt x="148018" y="71729"/>
                </a:lnTo>
                <a:lnTo>
                  <a:pt x="146494" y="74777"/>
                </a:lnTo>
                <a:lnTo>
                  <a:pt x="137350" y="79349"/>
                </a:lnTo>
                <a:lnTo>
                  <a:pt x="134302" y="79349"/>
                </a:lnTo>
                <a:lnTo>
                  <a:pt x="129730" y="80873"/>
                </a:lnTo>
                <a:lnTo>
                  <a:pt x="103822" y="80873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219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41"/>
                </a:lnTo>
                <a:lnTo>
                  <a:pt x="135826" y="91541"/>
                </a:lnTo>
                <a:lnTo>
                  <a:pt x="138874" y="90017"/>
                </a:lnTo>
                <a:lnTo>
                  <a:pt x="148018" y="86969"/>
                </a:lnTo>
                <a:lnTo>
                  <a:pt x="154114" y="83921"/>
                </a:lnTo>
                <a:lnTo>
                  <a:pt x="155638" y="80873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4008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216</xdr:row>
      <xdr:rowOff>-1</xdr:rowOff>
    </xdr:from>
    <xdr:ext cx="381000" cy="274320"/>
    <xdr:grpSp>
      <xdr:nvGrpSpPr>
        <xdr:cNvPr id="145" name="Group 145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GrpSpPr/>
      </xdr:nvGrpSpPr>
      <xdr:grpSpPr>
        <a:xfrm>
          <a:off x="5010150" y="76561949"/>
          <a:ext cx="381000" cy="274320"/>
          <a:chOff x="0" y="0"/>
          <a:chExt cx="381000" cy="274320"/>
        </a:xfrm>
      </xdr:grpSpPr>
      <xdr:sp macro="" textlink="">
        <xdr:nvSpPr>
          <xdr:cNvPr id="146" name="Shape 146">
            <a:extLst>
              <a:ext uri="{FF2B5EF4-FFF2-40B4-BE49-F238E27FC236}">
                <a16:creationId xmlns:a16="http://schemas.microsoft.com/office/drawing/2014/main" id="{00000000-0008-0000-0100-000092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19"/>
                </a:moveTo>
                <a:lnTo>
                  <a:pt x="0" y="274319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19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47" name="Shape 147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/>
        </xdr:nvSpPr>
        <xdr:spPr>
          <a:xfrm>
            <a:off x="72669" y="81063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8188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8376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6664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4302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3716"/>
                </a:lnTo>
                <a:lnTo>
                  <a:pt x="143446" y="15328"/>
                </a:lnTo>
                <a:lnTo>
                  <a:pt x="146494" y="18376"/>
                </a:lnTo>
                <a:lnTo>
                  <a:pt x="149542" y="22948"/>
                </a:lnTo>
                <a:lnTo>
                  <a:pt x="152590" y="29044"/>
                </a:lnTo>
                <a:lnTo>
                  <a:pt x="154114" y="36664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1524"/>
                </a:lnTo>
                <a:lnTo>
                  <a:pt x="131254" y="0"/>
                </a:lnTo>
                <a:lnTo>
                  <a:pt x="91541" y="0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3446" y="88582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7812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8188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218</xdr:row>
      <xdr:rowOff>2</xdr:rowOff>
    </xdr:from>
    <xdr:ext cx="381000" cy="274320"/>
    <xdr:grpSp>
      <xdr:nvGrpSpPr>
        <xdr:cNvPr id="148" name="Group 148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GrpSpPr/>
      </xdr:nvGrpSpPr>
      <xdr:grpSpPr>
        <a:xfrm>
          <a:off x="5010150" y="77247752"/>
          <a:ext cx="381000" cy="274320"/>
          <a:chOff x="0" y="0"/>
          <a:chExt cx="381000" cy="274320"/>
        </a:xfrm>
      </xdr:grpSpPr>
      <xdr:sp macro="" textlink="">
        <xdr:nvSpPr>
          <xdr:cNvPr id="149" name="Shape 149">
            <a:extLst>
              <a:ext uri="{FF2B5EF4-FFF2-40B4-BE49-F238E27FC236}">
                <a16:creationId xmlns:a16="http://schemas.microsoft.com/office/drawing/2014/main" id="{00000000-0008-0000-0100-000095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50" name="Shape 150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/>
        </xdr:nvSpPr>
        <xdr:spPr>
          <a:xfrm>
            <a:off x="72669" y="81914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101"/>
                </a:moveTo>
                <a:lnTo>
                  <a:pt x="59537" y="101"/>
                </a:lnTo>
                <a:lnTo>
                  <a:pt x="59537" y="70307"/>
                </a:lnTo>
                <a:lnTo>
                  <a:pt x="12192" y="101"/>
                </a:lnTo>
                <a:lnTo>
                  <a:pt x="0" y="101"/>
                </a:lnTo>
                <a:lnTo>
                  <a:pt x="0" y="90119"/>
                </a:lnTo>
                <a:lnTo>
                  <a:pt x="12192" y="90119"/>
                </a:lnTo>
                <a:lnTo>
                  <a:pt x="12192" y="18389"/>
                </a:lnTo>
                <a:lnTo>
                  <a:pt x="59537" y="90119"/>
                </a:lnTo>
                <a:lnTo>
                  <a:pt x="71729" y="90119"/>
                </a:lnTo>
                <a:lnTo>
                  <a:pt x="71729" y="101"/>
                </a:lnTo>
                <a:close/>
              </a:path>
              <a:path w="168275" h="90170">
                <a:moveTo>
                  <a:pt x="167932" y="36677"/>
                </a:moveTo>
                <a:lnTo>
                  <a:pt x="166408" y="29057"/>
                </a:lnTo>
                <a:lnTo>
                  <a:pt x="163360" y="22961"/>
                </a:lnTo>
                <a:lnTo>
                  <a:pt x="161836" y="16865"/>
                </a:lnTo>
                <a:lnTo>
                  <a:pt x="157162" y="10769"/>
                </a:lnTo>
                <a:lnTo>
                  <a:pt x="154114" y="8737"/>
                </a:lnTo>
                <a:lnTo>
                  <a:pt x="154114" y="35153"/>
                </a:lnTo>
                <a:lnTo>
                  <a:pt x="154114" y="56489"/>
                </a:lnTo>
                <a:lnTo>
                  <a:pt x="152590" y="61061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43446" y="74866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69"/>
                </a:lnTo>
                <a:lnTo>
                  <a:pt x="135826" y="10769"/>
                </a:lnTo>
                <a:lnTo>
                  <a:pt x="138874" y="12293"/>
                </a:lnTo>
                <a:lnTo>
                  <a:pt x="143446" y="13817"/>
                </a:lnTo>
                <a:lnTo>
                  <a:pt x="146494" y="16865"/>
                </a:lnTo>
                <a:lnTo>
                  <a:pt x="149542" y="22961"/>
                </a:lnTo>
                <a:lnTo>
                  <a:pt x="152590" y="27533"/>
                </a:lnTo>
                <a:lnTo>
                  <a:pt x="154114" y="35153"/>
                </a:lnTo>
                <a:lnTo>
                  <a:pt x="154114" y="8737"/>
                </a:lnTo>
                <a:lnTo>
                  <a:pt x="152590" y="7721"/>
                </a:lnTo>
                <a:lnTo>
                  <a:pt x="149542" y="4673"/>
                </a:lnTo>
                <a:lnTo>
                  <a:pt x="144970" y="1625"/>
                </a:lnTo>
                <a:lnTo>
                  <a:pt x="138874" y="0"/>
                </a:lnTo>
                <a:lnTo>
                  <a:pt x="91541" y="0"/>
                </a:lnTo>
                <a:lnTo>
                  <a:pt x="91541" y="90119"/>
                </a:lnTo>
                <a:lnTo>
                  <a:pt x="135826" y="90119"/>
                </a:lnTo>
                <a:lnTo>
                  <a:pt x="138874" y="88582"/>
                </a:lnTo>
                <a:lnTo>
                  <a:pt x="148018" y="85534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1729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677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220</xdr:row>
      <xdr:rowOff>-1</xdr:rowOff>
    </xdr:from>
    <xdr:ext cx="381000" cy="276225"/>
    <xdr:grpSp>
      <xdr:nvGrpSpPr>
        <xdr:cNvPr id="151" name="Group 15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GrpSpPr/>
      </xdr:nvGrpSpPr>
      <xdr:grpSpPr>
        <a:xfrm>
          <a:off x="5010150" y="77924024"/>
          <a:ext cx="381000" cy="276225"/>
          <a:chOff x="0" y="0"/>
          <a:chExt cx="381000" cy="276225"/>
        </a:xfrm>
      </xdr:grpSpPr>
      <xdr:sp macro="" textlink="">
        <xdr:nvSpPr>
          <xdr:cNvPr id="152" name="Shape 152">
            <a:extLst>
              <a:ext uri="{FF2B5EF4-FFF2-40B4-BE49-F238E27FC236}">
                <a16:creationId xmlns:a16="http://schemas.microsoft.com/office/drawing/2014/main" id="{00000000-0008-0000-0100-000098000000}"/>
              </a:ext>
            </a:extLst>
          </xdr:cNvPr>
          <xdr:cNvSpPr/>
        </xdr:nvSpPr>
        <xdr:spPr>
          <a:xfrm>
            <a:off x="0" y="0"/>
            <a:ext cx="381000" cy="276225"/>
          </a:xfrm>
          <a:custGeom>
            <a:avLst/>
            <a:gdLst/>
            <a:ahLst/>
            <a:cxnLst/>
            <a:rect l="0" t="0" r="0" b="0"/>
            <a:pathLst>
              <a:path w="381000" h="276225">
                <a:moveTo>
                  <a:pt x="381000" y="275844"/>
                </a:moveTo>
                <a:lnTo>
                  <a:pt x="0" y="275844"/>
                </a:lnTo>
                <a:lnTo>
                  <a:pt x="0" y="0"/>
                </a:lnTo>
                <a:lnTo>
                  <a:pt x="381000" y="0"/>
                </a:lnTo>
                <a:lnTo>
                  <a:pt x="381000" y="275844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53" name="Shape 153">
            <a:extLst>
              <a:ext uri="{FF2B5EF4-FFF2-40B4-BE49-F238E27FC236}">
                <a16:creationId xmlns:a16="http://schemas.microsoft.com/office/drawing/2014/main" id="{00000000-0008-0000-0100-000099000000}"/>
              </a:ext>
            </a:extLst>
          </xdr:cNvPr>
          <xdr:cNvSpPr/>
        </xdr:nvSpPr>
        <xdr:spPr>
          <a:xfrm>
            <a:off x="72669" y="82867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0017"/>
                </a:lnTo>
                <a:lnTo>
                  <a:pt x="12192" y="90017"/>
                </a:lnTo>
                <a:lnTo>
                  <a:pt x="12192" y="18288"/>
                </a:lnTo>
                <a:lnTo>
                  <a:pt x="59537" y="90017"/>
                </a:lnTo>
                <a:lnTo>
                  <a:pt x="71729" y="90017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0668"/>
                </a:lnTo>
                <a:lnTo>
                  <a:pt x="154114" y="8636"/>
                </a:lnTo>
                <a:lnTo>
                  <a:pt x="154114" y="35052"/>
                </a:lnTo>
                <a:lnTo>
                  <a:pt x="154114" y="56489"/>
                </a:lnTo>
                <a:lnTo>
                  <a:pt x="152590" y="62585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46494" y="16764"/>
                </a:lnTo>
                <a:lnTo>
                  <a:pt x="149542" y="22860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8636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0017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3921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222</xdr:row>
      <xdr:rowOff>1</xdr:rowOff>
    </xdr:from>
    <xdr:ext cx="381000" cy="274320"/>
    <xdr:grpSp>
      <xdr:nvGrpSpPr>
        <xdr:cNvPr id="154" name="Group 154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GrpSpPr/>
      </xdr:nvGrpSpPr>
      <xdr:grpSpPr>
        <a:xfrm>
          <a:off x="5010150" y="78619351"/>
          <a:ext cx="381000" cy="274320"/>
          <a:chOff x="0" y="0"/>
          <a:chExt cx="381000" cy="274320"/>
        </a:xfrm>
      </xdr:grpSpPr>
      <xdr:sp macro="" textlink="">
        <xdr:nvSpPr>
          <xdr:cNvPr id="155" name="Shape 155">
            <a:extLst>
              <a:ext uri="{FF2B5EF4-FFF2-40B4-BE49-F238E27FC236}">
                <a16:creationId xmlns:a16="http://schemas.microsoft.com/office/drawing/2014/main" id="{00000000-0008-0000-0100-00009B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56" name="Shape 156">
            <a:extLst>
              <a:ext uri="{FF2B5EF4-FFF2-40B4-BE49-F238E27FC236}">
                <a16:creationId xmlns:a16="http://schemas.microsoft.com/office/drawing/2014/main" id="{00000000-0008-0000-0100-00009C000000}"/>
              </a:ext>
            </a:extLst>
          </xdr:cNvPr>
          <xdr:cNvSpPr/>
        </xdr:nvSpPr>
        <xdr:spPr>
          <a:xfrm>
            <a:off x="72669" y="8077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541"/>
                </a:lnTo>
                <a:lnTo>
                  <a:pt x="12192" y="91541"/>
                </a:lnTo>
                <a:lnTo>
                  <a:pt x="12192" y="19812"/>
                </a:lnTo>
                <a:lnTo>
                  <a:pt x="59537" y="91541"/>
                </a:lnTo>
                <a:lnTo>
                  <a:pt x="71729" y="91541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7912"/>
                </a:lnTo>
                <a:lnTo>
                  <a:pt x="152590" y="62484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43446" y="76301"/>
                </a:lnTo>
                <a:lnTo>
                  <a:pt x="140398" y="77825"/>
                </a:lnTo>
                <a:lnTo>
                  <a:pt x="137350" y="77825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41"/>
                </a:lnTo>
                <a:lnTo>
                  <a:pt x="129730" y="91541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5445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484"/>
                </a:lnTo>
                <a:lnTo>
                  <a:pt x="166408" y="57912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224</xdr:row>
      <xdr:rowOff>2</xdr:rowOff>
    </xdr:from>
    <xdr:ext cx="381000" cy="274320"/>
    <xdr:grpSp>
      <xdr:nvGrpSpPr>
        <xdr:cNvPr id="157" name="Group 157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GrpSpPr/>
      </xdr:nvGrpSpPr>
      <xdr:grpSpPr>
        <a:xfrm>
          <a:off x="5010150" y="79305152"/>
          <a:ext cx="381000" cy="274320"/>
          <a:chOff x="0" y="0"/>
          <a:chExt cx="381000" cy="274320"/>
        </a:xfrm>
      </xdr:grpSpPr>
      <xdr:sp macro="" textlink="">
        <xdr:nvSpPr>
          <xdr:cNvPr id="158" name="Shape 158">
            <a:extLst>
              <a:ext uri="{FF2B5EF4-FFF2-40B4-BE49-F238E27FC236}">
                <a16:creationId xmlns:a16="http://schemas.microsoft.com/office/drawing/2014/main" id="{00000000-0008-0000-0100-00009E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59" name="Shape 159">
            <a:extLst>
              <a:ext uri="{FF2B5EF4-FFF2-40B4-BE49-F238E27FC236}">
                <a16:creationId xmlns:a16="http://schemas.microsoft.com/office/drawing/2014/main" id="{00000000-0008-0000-0100-00009F000000}"/>
              </a:ext>
            </a:extLst>
          </xdr:cNvPr>
          <xdr:cNvSpPr/>
        </xdr:nvSpPr>
        <xdr:spPr>
          <a:xfrm>
            <a:off x="72669" y="8011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528"/>
                </a:lnTo>
                <a:lnTo>
                  <a:pt x="12192" y="91528"/>
                </a:lnTo>
                <a:lnTo>
                  <a:pt x="12192" y="19812"/>
                </a:lnTo>
                <a:lnTo>
                  <a:pt x="59537" y="91528"/>
                </a:lnTo>
                <a:lnTo>
                  <a:pt x="71729" y="91528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3446" y="76288"/>
                </a:lnTo>
                <a:lnTo>
                  <a:pt x="137350" y="79336"/>
                </a:lnTo>
                <a:lnTo>
                  <a:pt x="134302" y="79336"/>
                </a:lnTo>
                <a:lnTo>
                  <a:pt x="129730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52590" y="27432"/>
                </a:lnTo>
                <a:lnTo>
                  <a:pt x="154114" y="35140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28"/>
                </a:lnTo>
                <a:lnTo>
                  <a:pt x="129730" y="91528"/>
                </a:lnTo>
                <a:lnTo>
                  <a:pt x="135826" y="90004"/>
                </a:lnTo>
                <a:lnTo>
                  <a:pt x="138874" y="90004"/>
                </a:lnTo>
                <a:lnTo>
                  <a:pt x="148018" y="86956"/>
                </a:lnTo>
                <a:lnTo>
                  <a:pt x="151066" y="85432"/>
                </a:lnTo>
                <a:lnTo>
                  <a:pt x="155638" y="80860"/>
                </a:lnTo>
                <a:lnTo>
                  <a:pt x="158788" y="76288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226</xdr:row>
      <xdr:rowOff>-1</xdr:rowOff>
    </xdr:from>
    <xdr:ext cx="381000" cy="274320"/>
    <xdr:grpSp>
      <xdr:nvGrpSpPr>
        <xdr:cNvPr id="160" name="Group 160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GrpSpPr/>
      </xdr:nvGrpSpPr>
      <xdr:grpSpPr>
        <a:xfrm>
          <a:off x="5010150" y="79981424"/>
          <a:ext cx="381000" cy="274320"/>
          <a:chOff x="0" y="0"/>
          <a:chExt cx="381000" cy="274320"/>
        </a:xfrm>
      </xdr:grpSpPr>
      <xdr:sp macro="" textlink="">
        <xdr:nvSpPr>
          <xdr:cNvPr id="161" name="Shape 161">
            <a:extLst>
              <a:ext uri="{FF2B5EF4-FFF2-40B4-BE49-F238E27FC236}">
                <a16:creationId xmlns:a16="http://schemas.microsoft.com/office/drawing/2014/main" id="{00000000-0008-0000-0100-0000A1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62" name="Shape 162">
            <a:extLst>
              <a:ext uri="{FF2B5EF4-FFF2-40B4-BE49-F238E27FC236}">
                <a16:creationId xmlns:a16="http://schemas.microsoft.com/office/drawing/2014/main" id="{00000000-0008-0000-0100-0000A2000000}"/>
              </a:ext>
            </a:extLst>
          </xdr:cNvPr>
          <xdr:cNvSpPr/>
        </xdr:nvSpPr>
        <xdr:spPr>
          <a:xfrm>
            <a:off x="72669" y="81064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528"/>
                </a:lnTo>
                <a:lnTo>
                  <a:pt x="12192" y="91528"/>
                </a:lnTo>
                <a:lnTo>
                  <a:pt x="12192" y="19812"/>
                </a:lnTo>
                <a:lnTo>
                  <a:pt x="59537" y="91528"/>
                </a:lnTo>
                <a:lnTo>
                  <a:pt x="71729" y="91528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30480"/>
                </a:lnTo>
                <a:lnTo>
                  <a:pt x="163360" y="24384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7912"/>
                </a:lnTo>
                <a:lnTo>
                  <a:pt x="151066" y="67056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7350" y="79336"/>
                </a:lnTo>
                <a:lnTo>
                  <a:pt x="134302" y="79336"/>
                </a:lnTo>
                <a:lnTo>
                  <a:pt x="129730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219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28"/>
                </a:lnTo>
                <a:lnTo>
                  <a:pt x="135826" y="91528"/>
                </a:lnTo>
                <a:lnTo>
                  <a:pt x="138874" y="90004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6288"/>
                </a:lnTo>
                <a:lnTo>
                  <a:pt x="161836" y="73240"/>
                </a:lnTo>
                <a:lnTo>
                  <a:pt x="163360" y="68668"/>
                </a:lnTo>
                <a:lnTo>
                  <a:pt x="164884" y="64008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0</xdr:col>
      <xdr:colOff>179831</xdr:colOff>
      <xdr:row>243</xdr:row>
      <xdr:rowOff>-1</xdr:rowOff>
    </xdr:from>
    <xdr:ext cx="7426959" cy="548640"/>
    <xdr:grpSp>
      <xdr:nvGrpSpPr>
        <xdr:cNvPr id="163" name="Group 163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GrpSpPr/>
      </xdr:nvGrpSpPr>
      <xdr:grpSpPr>
        <a:xfrm>
          <a:off x="179831" y="85839299"/>
          <a:ext cx="7426959" cy="548640"/>
          <a:chOff x="0" y="0"/>
          <a:chExt cx="7426959" cy="548640"/>
        </a:xfrm>
      </xdr:grpSpPr>
      <xdr:sp macro="" textlink="">
        <xdr:nvSpPr>
          <xdr:cNvPr id="164" name="Shape 164">
            <a:extLst>
              <a:ext uri="{FF2B5EF4-FFF2-40B4-BE49-F238E27FC236}">
                <a16:creationId xmlns:a16="http://schemas.microsoft.com/office/drawing/2014/main" id="{00000000-0008-0000-0100-0000A4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165" name="image4.png">
            <a:extLst>
              <a:ext uri="{FF2B5EF4-FFF2-40B4-BE49-F238E27FC236}">
                <a16:creationId xmlns:a16="http://schemas.microsoft.com/office/drawing/2014/main" id="{00000000-0008-0000-0100-0000A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166" name="Shape 166">
            <a:extLst>
              <a:ext uri="{FF2B5EF4-FFF2-40B4-BE49-F238E27FC236}">
                <a16:creationId xmlns:a16="http://schemas.microsoft.com/office/drawing/2014/main" id="{00000000-0008-0000-0100-0000A6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167" name="Shape 167">
            <a:extLst>
              <a:ext uri="{FF2B5EF4-FFF2-40B4-BE49-F238E27FC236}">
                <a16:creationId xmlns:a16="http://schemas.microsoft.com/office/drawing/2014/main" id="{00000000-0008-0000-0100-0000A7000000}"/>
              </a:ext>
            </a:extLst>
          </xdr:cNvPr>
          <xdr:cNvSpPr/>
        </xdr:nvSpPr>
        <xdr:spPr>
          <a:xfrm>
            <a:off x="0" y="274319"/>
            <a:ext cx="4799330" cy="274320"/>
          </a:xfrm>
          <a:custGeom>
            <a:avLst/>
            <a:gdLst/>
            <a:ahLst/>
            <a:cxnLst/>
            <a:rect l="0" t="0" r="0" b="0"/>
            <a:pathLst>
              <a:path w="4799330" h="27432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274320"/>
                </a:lnTo>
                <a:lnTo>
                  <a:pt x="4799076" y="27432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3</xdr:col>
      <xdr:colOff>0</xdr:colOff>
      <xdr:row>229</xdr:row>
      <xdr:rowOff>-2</xdr:rowOff>
    </xdr:from>
    <xdr:ext cx="381000" cy="274320"/>
    <xdr:grpSp>
      <xdr:nvGrpSpPr>
        <xdr:cNvPr id="168" name="Group 168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GrpSpPr/>
      </xdr:nvGrpSpPr>
      <xdr:grpSpPr>
        <a:xfrm>
          <a:off x="5010150" y="81133948"/>
          <a:ext cx="381000" cy="274320"/>
          <a:chOff x="0" y="0"/>
          <a:chExt cx="381000" cy="274320"/>
        </a:xfrm>
      </xdr:grpSpPr>
      <xdr:sp macro="" textlink="">
        <xdr:nvSpPr>
          <xdr:cNvPr id="169" name="Shape 169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70" name="Shape 170">
            <a:extLst>
              <a:ext uri="{FF2B5EF4-FFF2-40B4-BE49-F238E27FC236}">
                <a16:creationId xmlns:a16="http://schemas.microsoft.com/office/drawing/2014/main" id="{00000000-0008-0000-0100-0000AA000000}"/>
              </a:ext>
            </a:extLst>
          </xdr:cNvPr>
          <xdr:cNvSpPr/>
        </xdr:nvSpPr>
        <xdr:spPr>
          <a:xfrm>
            <a:off x="72669" y="80200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541"/>
                </a:lnTo>
                <a:lnTo>
                  <a:pt x="12192" y="91541"/>
                </a:lnTo>
                <a:lnTo>
                  <a:pt x="12192" y="19812"/>
                </a:lnTo>
                <a:lnTo>
                  <a:pt x="59537" y="91541"/>
                </a:lnTo>
                <a:lnTo>
                  <a:pt x="71729" y="91541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30480"/>
                </a:lnTo>
                <a:lnTo>
                  <a:pt x="163360" y="24384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7912"/>
                </a:lnTo>
                <a:lnTo>
                  <a:pt x="151066" y="67056"/>
                </a:lnTo>
                <a:lnTo>
                  <a:pt x="148018" y="71729"/>
                </a:lnTo>
                <a:lnTo>
                  <a:pt x="146494" y="74777"/>
                </a:lnTo>
                <a:lnTo>
                  <a:pt x="137350" y="79349"/>
                </a:lnTo>
                <a:lnTo>
                  <a:pt x="134302" y="79349"/>
                </a:lnTo>
                <a:lnTo>
                  <a:pt x="129730" y="80873"/>
                </a:lnTo>
                <a:lnTo>
                  <a:pt x="103822" y="80873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219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41"/>
                </a:lnTo>
                <a:lnTo>
                  <a:pt x="135826" y="91541"/>
                </a:lnTo>
                <a:lnTo>
                  <a:pt x="138874" y="90017"/>
                </a:lnTo>
                <a:lnTo>
                  <a:pt x="148018" y="86969"/>
                </a:lnTo>
                <a:lnTo>
                  <a:pt x="154114" y="83921"/>
                </a:lnTo>
                <a:lnTo>
                  <a:pt x="155638" y="80873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4008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231</xdr:row>
      <xdr:rowOff>0</xdr:rowOff>
    </xdr:from>
    <xdr:ext cx="381000" cy="274320"/>
    <xdr:grpSp>
      <xdr:nvGrpSpPr>
        <xdr:cNvPr id="171" name="Group 171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GrpSpPr/>
      </xdr:nvGrpSpPr>
      <xdr:grpSpPr>
        <a:xfrm>
          <a:off x="5010150" y="81810225"/>
          <a:ext cx="381000" cy="274320"/>
          <a:chOff x="0" y="0"/>
          <a:chExt cx="381000" cy="274320"/>
        </a:xfrm>
      </xdr:grpSpPr>
      <xdr:sp macro="" textlink="">
        <xdr:nvSpPr>
          <xdr:cNvPr id="172" name="Shape 172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19"/>
                </a:moveTo>
                <a:lnTo>
                  <a:pt x="0" y="274319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19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73" name="Shape 173">
            <a:extLst>
              <a:ext uri="{FF2B5EF4-FFF2-40B4-BE49-F238E27FC236}">
                <a16:creationId xmlns:a16="http://schemas.microsoft.com/office/drawing/2014/main" id="{00000000-0008-0000-0100-0000AD000000}"/>
              </a:ext>
            </a:extLst>
          </xdr:cNvPr>
          <xdr:cNvSpPr/>
        </xdr:nvSpPr>
        <xdr:spPr>
          <a:xfrm>
            <a:off x="72669" y="81063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8188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8376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6664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4302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3716"/>
                </a:lnTo>
                <a:lnTo>
                  <a:pt x="143446" y="15328"/>
                </a:lnTo>
                <a:lnTo>
                  <a:pt x="146494" y="18376"/>
                </a:lnTo>
                <a:lnTo>
                  <a:pt x="149542" y="22948"/>
                </a:lnTo>
                <a:lnTo>
                  <a:pt x="152590" y="29044"/>
                </a:lnTo>
                <a:lnTo>
                  <a:pt x="154114" y="36664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1524"/>
                </a:lnTo>
                <a:lnTo>
                  <a:pt x="131254" y="0"/>
                </a:lnTo>
                <a:lnTo>
                  <a:pt x="91541" y="0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3446" y="88582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7812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8188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233</xdr:row>
      <xdr:rowOff>-2</xdr:rowOff>
    </xdr:from>
    <xdr:ext cx="381000" cy="274320"/>
    <xdr:grpSp>
      <xdr:nvGrpSpPr>
        <xdr:cNvPr id="174" name="Group 174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GrpSpPr/>
      </xdr:nvGrpSpPr>
      <xdr:grpSpPr>
        <a:xfrm>
          <a:off x="5010150" y="82496023"/>
          <a:ext cx="381000" cy="274320"/>
          <a:chOff x="0" y="0"/>
          <a:chExt cx="381000" cy="274320"/>
        </a:xfrm>
      </xdr:grpSpPr>
      <xdr:sp macro="" textlink="">
        <xdr:nvSpPr>
          <xdr:cNvPr id="175" name="Shape 175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76" name="Shape 176">
            <a:extLst>
              <a:ext uri="{FF2B5EF4-FFF2-40B4-BE49-F238E27FC236}">
                <a16:creationId xmlns:a16="http://schemas.microsoft.com/office/drawing/2014/main" id="{00000000-0008-0000-0100-0000B0000000}"/>
              </a:ext>
            </a:extLst>
          </xdr:cNvPr>
          <xdr:cNvSpPr/>
        </xdr:nvSpPr>
        <xdr:spPr>
          <a:xfrm>
            <a:off x="72669" y="82016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0205"/>
                </a:lnTo>
                <a:lnTo>
                  <a:pt x="12192" y="0"/>
                </a:lnTo>
                <a:lnTo>
                  <a:pt x="0" y="0"/>
                </a:lnTo>
                <a:lnTo>
                  <a:pt x="0" y="90017"/>
                </a:lnTo>
                <a:lnTo>
                  <a:pt x="12192" y="90017"/>
                </a:lnTo>
                <a:lnTo>
                  <a:pt x="12192" y="18288"/>
                </a:lnTo>
                <a:lnTo>
                  <a:pt x="59537" y="90017"/>
                </a:lnTo>
                <a:lnTo>
                  <a:pt x="71729" y="90017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0668"/>
                </a:lnTo>
                <a:lnTo>
                  <a:pt x="154114" y="8636"/>
                </a:lnTo>
                <a:lnTo>
                  <a:pt x="154114" y="35052"/>
                </a:lnTo>
                <a:lnTo>
                  <a:pt x="154114" y="56476"/>
                </a:lnTo>
                <a:lnTo>
                  <a:pt x="152590" y="61048"/>
                </a:lnTo>
                <a:lnTo>
                  <a:pt x="151066" y="67144"/>
                </a:lnTo>
                <a:lnTo>
                  <a:pt x="148018" y="70192"/>
                </a:lnTo>
                <a:lnTo>
                  <a:pt x="146494" y="73240"/>
                </a:lnTo>
                <a:lnTo>
                  <a:pt x="134302" y="79336"/>
                </a:lnTo>
                <a:lnTo>
                  <a:pt x="103822" y="79336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46494" y="16764"/>
                </a:lnTo>
                <a:lnTo>
                  <a:pt x="149542" y="22860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8636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0"/>
                </a:lnTo>
                <a:lnTo>
                  <a:pt x="91541" y="0"/>
                </a:lnTo>
                <a:lnTo>
                  <a:pt x="91541" y="90017"/>
                </a:lnTo>
                <a:lnTo>
                  <a:pt x="135826" y="90017"/>
                </a:lnTo>
                <a:lnTo>
                  <a:pt x="138874" y="88480"/>
                </a:lnTo>
                <a:lnTo>
                  <a:pt x="148018" y="85432"/>
                </a:lnTo>
                <a:lnTo>
                  <a:pt x="154114" y="82384"/>
                </a:lnTo>
                <a:lnTo>
                  <a:pt x="155638" y="79336"/>
                </a:lnTo>
                <a:lnTo>
                  <a:pt x="158788" y="76288"/>
                </a:lnTo>
                <a:lnTo>
                  <a:pt x="161836" y="71716"/>
                </a:lnTo>
                <a:lnTo>
                  <a:pt x="163360" y="68668"/>
                </a:lnTo>
                <a:lnTo>
                  <a:pt x="164884" y="62572"/>
                </a:lnTo>
                <a:lnTo>
                  <a:pt x="166408" y="58000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235</xdr:row>
      <xdr:rowOff>0</xdr:rowOff>
    </xdr:from>
    <xdr:ext cx="381000" cy="276225"/>
    <xdr:grpSp>
      <xdr:nvGrpSpPr>
        <xdr:cNvPr id="177" name="Group 177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GrpSpPr/>
      </xdr:nvGrpSpPr>
      <xdr:grpSpPr>
        <a:xfrm>
          <a:off x="5010150" y="83172300"/>
          <a:ext cx="381000" cy="276225"/>
          <a:chOff x="0" y="0"/>
          <a:chExt cx="381000" cy="276225"/>
        </a:xfrm>
      </xdr:grpSpPr>
      <xdr:sp macro="" textlink="">
        <xdr:nvSpPr>
          <xdr:cNvPr id="178" name="Shape 178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0" y="0"/>
            <a:ext cx="381000" cy="276225"/>
          </a:xfrm>
          <a:custGeom>
            <a:avLst/>
            <a:gdLst/>
            <a:ahLst/>
            <a:cxnLst/>
            <a:rect l="0" t="0" r="0" b="0"/>
            <a:pathLst>
              <a:path w="381000" h="276225">
                <a:moveTo>
                  <a:pt x="381000" y="275844"/>
                </a:moveTo>
                <a:lnTo>
                  <a:pt x="0" y="275844"/>
                </a:lnTo>
                <a:lnTo>
                  <a:pt x="0" y="0"/>
                </a:lnTo>
                <a:lnTo>
                  <a:pt x="381000" y="0"/>
                </a:lnTo>
                <a:lnTo>
                  <a:pt x="381000" y="275844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79" name="Shape 179">
            <a:extLst>
              <a:ext uri="{FF2B5EF4-FFF2-40B4-BE49-F238E27FC236}">
                <a16:creationId xmlns:a16="http://schemas.microsoft.com/office/drawing/2014/main" id="{00000000-0008-0000-0100-0000B3000000}"/>
              </a:ext>
            </a:extLst>
          </xdr:cNvPr>
          <xdr:cNvSpPr/>
        </xdr:nvSpPr>
        <xdr:spPr>
          <a:xfrm>
            <a:off x="72669" y="82867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0017"/>
                </a:lnTo>
                <a:lnTo>
                  <a:pt x="12192" y="90017"/>
                </a:lnTo>
                <a:lnTo>
                  <a:pt x="12192" y="18288"/>
                </a:lnTo>
                <a:lnTo>
                  <a:pt x="59537" y="90017"/>
                </a:lnTo>
                <a:lnTo>
                  <a:pt x="71729" y="90017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0668"/>
                </a:lnTo>
                <a:lnTo>
                  <a:pt x="154114" y="8636"/>
                </a:lnTo>
                <a:lnTo>
                  <a:pt x="154114" y="35052"/>
                </a:lnTo>
                <a:lnTo>
                  <a:pt x="154114" y="56489"/>
                </a:lnTo>
                <a:lnTo>
                  <a:pt x="152590" y="62585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46494" y="16764"/>
                </a:lnTo>
                <a:lnTo>
                  <a:pt x="149542" y="22860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8636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0017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3921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237</xdr:row>
      <xdr:rowOff>2</xdr:rowOff>
    </xdr:from>
    <xdr:ext cx="381000" cy="274320"/>
    <xdr:grpSp>
      <xdr:nvGrpSpPr>
        <xdr:cNvPr id="180" name="Group 180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GrpSpPr/>
      </xdr:nvGrpSpPr>
      <xdr:grpSpPr>
        <a:xfrm>
          <a:off x="5010150" y="83867627"/>
          <a:ext cx="381000" cy="274320"/>
          <a:chOff x="0" y="0"/>
          <a:chExt cx="381000" cy="274320"/>
        </a:xfrm>
      </xdr:grpSpPr>
      <xdr:sp macro="" textlink="">
        <xdr:nvSpPr>
          <xdr:cNvPr id="181" name="Shape 181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82" name="Shape 182">
            <a:extLst>
              <a:ext uri="{FF2B5EF4-FFF2-40B4-BE49-F238E27FC236}">
                <a16:creationId xmlns:a16="http://schemas.microsoft.com/office/drawing/2014/main" id="{00000000-0008-0000-0100-0000B6000000}"/>
              </a:ext>
            </a:extLst>
          </xdr:cNvPr>
          <xdr:cNvSpPr/>
        </xdr:nvSpPr>
        <xdr:spPr>
          <a:xfrm>
            <a:off x="72669" y="8077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541"/>
                </a:lnTo>
                <a:lnTo>
                  <a:pt x="12192" y="91541"/>
                </a:lnTo>
                <a:lnTo>
                  <a:pt x="12192" y="19812"/>
                </a:lnTo>
                <a:lnTo>
                  <a:pt x="59537" y="91541"/>
                </a:lnTo>
                <a:lnTo>
                  <a:pt x="71729" y="91541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7912"/>
                </a:lnTo>
                <a:lnTo>
                  <a:pt x="152590" y="62484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43446" y="76301"/>
                </a:lnTo>
                <a:lnTo>
                  <a:pt x="140398" y="77825"/>
                </a:lnTo>
                <a:lnTo>
                  <a:pt x="137350" y="77825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41"/>
                </a:lnTo>
                <a:lnTo>
                  <a:pt x="129730" y="91541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5445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484"/>
                </a:lnTo>
                <a:lnTo>
                  <a:pt x="166408" y="57912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239</xdr:row>
      <xdr:rowOff>-2</xdr:rowOff>
    </xdr:from>
    <xdr:ext cx="381000" cy="274320"/>
    <xdr:grpSp>
      <xdr:nvGrpSpPr>
        <xdr:cNvPr id="183" name="Group 183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GrpSpPr/>
      </xdr:nvGrpSpPr>
      <xdr:grpSpPr>
        <a:xfrm>
          <a:off x="5010150" y="84553423"/>
          <a:ext cx="381000" cy="274320"/>
          <a:chOff x="0" y="0"/>
          <a:chExt cx="381000" cy="274320"/>
        </a:xfrm>
      </xdr:grpSpPr>
      <xdr:sp macro="" textlink="">
        <xdr:nvSpPr>
          <xdr:cNvPr id="184" name="Shape 184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85" name="Shape 185">
            <a:extLst>
              <a:ext uri="{FF2B5EF4-FFF2-40B4-BE49-F238E27FC236}">
                <a16:creationId xmlns:a16="http://schemas.microsoft.com/office/drawing/2014/main" id="{00000000-0008-0000-0100-0000B9000000}"/>
              </a:ext>
            </a:extLst>
          </xdr:cNvPr>
          <xdr:cNvSpPr/>
        </xdr:nvSpPr>
        <xdr:spPr>
          <a:xfrm>
            <a:off x="72669" y="8011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528"/>
                </a:lnTo>
                <a:lnTo>
                  <a:pt x="12192" y="91528"/>
                </a:lnTo>
                <a:lnTo>
                  <a:pt x="12192" y="19812"/>
                </a:lnTo>
                <a:lnTo>
                  <a:pt x="59537" y="91528"/>
                </a:lnTo>
                <a:lnTo>
                  <a:pt x="71729" y="91528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3446" y="76288"/>
                </a:lnTo>
                <a:lnTo>
                  <a:pt x="137350" y="79336"/>
                </a:lnTo>
                <a:lnTo>
                  <a:pt x="134302" y="79336"/>
                </a:lnTo>
                <a:lnTo>
                  <a:pt x="129730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52590" y="27432"/>
                </a:lnTo>
                <a:lnTo>
                  <a:pt x="154114" y="35140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28"/>
                </a:lnTo>
                <a:lnTo>
                  <a:pt x="129730" y="91528"/>
                </a:lnTo>
                <a:lnTo>
                  <a:pt x="135826" y="90004"/>
                </a:lnTo>
                <a:lnTo>
                  <a:pt x="138874" y="90004"/>
                </a:lnTo>
                <a:lnTo>
                  <a:pt x="148018" y="86956"/>
                </a:lnTo>
                <a:lnTo>
                  <a:pt x="151066" y="85432"/>
                </a:lnTo>
                <a:lnTo>
                  <a:pt x="155638" y="80860"/>
                </a:lnTo>
                <a:lnTo>
                  <a:pt x="158788" y="76288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241</xdr:row>
      <xdr:rowOff>0</xdr:rowOff>
    </xdr:from>
    <xdr:ext cx="381000" cy="274320"/>
    <xdr:grpSp>
      <xdr:nvGrpSpPr>
        <xdr:cNvPr id="186" name="Group 186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GrpSpPr/>
      </xdr:nvGrpSpPr>
      <xdr:grpSpPr>
        <a:xfrm>
          <a:off x="5010150" y="85229700"/>
          <a:ext cx="381000" cy="274320"/>
          <a:chOff x="0" y="0"/>
          <a:chExt cx="381000" cy="274320"/>
        </a:xfrm>
      </xdr:grpSpPr>
      <xdr:sp macro="" textlink="">
        <xdr:nvSpPr>
          <xdr:cNvPr id="187" name="Shape 187">
            <a:extLst>
              <a:ext uri="{FF2B5EF4-FFF2-40B4-BE49-F238E27FC236}">
                <a16:creationId xmlns:a16="http://schemas.microsoft.com/office/drawing/2014/main" id="{00000000-0008-0000-0100-0000BB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88" name="Shape 188">
            <a:extLst>
              <a:ext uri="{FF2B5EF4-FFF2-40B4-BE49-F238E27FC236}">
                <a16:creationId xmlns:a16="http://schemas.microsoft.com/office/drawing/2014/main" id="{00000000-0008-0000-0100-0000BC000000}"/>
              </a:ext>
            </a:extLst>
          </xdr:cNvPr>
          <xdr:cNvSpPr/>
        </xdr:nvSpPr>
        <xdr:spPr>
          <a:xfrm>
            <a:off x="72669" y="81064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528"/>
                </a:lnTo>
                <a:lnTo>
                  <a:pt x="12192" y="91528"/>
                </a:lnTo>
                <a:lnTo>
                  <a:pt x="12192" y="19812"/>
                </a:lnTo>
                <a:lnTo>
                  <a:pt x="59537" y="91528"/>
                </a:lnTo>
                <a:lnTo>
                  <a:pt x="71729" y="91528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30480"/>
                </a:lnTo>
                <a:lnTo>
                  <a:pt x="163360" y="24384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7912"/>
                </a:lnTo>
                <a:lnTo>
                  <a:pt x="151066" y="67056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7350" y="79336"/>
                </a:lnTo>
                <a:lnTo>
                  <a:pt x="134302" y="79336"/>
                </a:lnTo>
                <a:lnTo>
                  <a:pt x="129730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219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28"/>
                </a:lnTo>
                <a:lnTo>
                  <a:pt x="135826" y="91528"/>
                </a:lnTo>
                <a:lnTo>
                  <a:pt x="138874" y="90004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6288"/>
                </a:lnTo>
                <a:lnTo>
                  <a:pt x="161836" y="73240"/>
                </a:lnTo>
                <a:lnTo>
                  <a:pt x="163360" y="68668"/>
                </a:lnTo>
                <a:lnTo>
                  <a:pt x="164884" y="64008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0</xdr:col>
      <xdr:colOff>179831</xdr:colOff>
      <xdr:row>258</xdr:row>
      <xdr:rowOff>143512</xdr:rowOff>
    </xdr:from>
    <xdr:ext cx="7426959" cy="548640"/>
    <xdr:grpSp>
      <xdr:nvGrpSpPr>
        <xdr:cNvPr id="189" name="Group 189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GrpSpPr/>
      </xdr:nvGrpSpPr>
      <xdr:grpSpPr>
        <a:xfrm>
          <a:off x="179831" y="91097737"/>
          <a:ext cx="7426959" cy="548640"/>
          <a:chOff x="0" y="0"/>
          <a:chExt cx="7426959" cy="548640"/>
        </a:xfrm>
      </xdr:grpSpPr>
      <xdr:sp macro="" textlink="">
        <xdr:nvSpPr>
          <xdr:cNvPr id="190" name="Shape 190">
            <a:extLst>
              <a:ext uri="{FF2B5EF4-FFF2-40B4-BE49-F238E27FC236}">
                <a16:creationId xmlns:a16="http://schemas.microsoft.com/office/drawing/2014/main" id="{00000000-0008-0000-0100-0000BE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191" name="image4.png">
            <a:extLst>
              <a:ext uri="{FF2B5EF4-FFF2-40B4-BE49-F238E27FC236}">
                <a16:creationId xmlns:a16="http://schemas.microsoft.com/office/drawing/2014/main" id="{00000000-0008-0000-0100-0000B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192" name="Shape 192">
            <a:extLst>
              <a:ext uri="{FF2B5EF4-FFF2-40B4-BE49-F238E27FC236}">
                <a16:creationId xmlns:a16="http://schemas.microsoft.com/office/drawing/2014/main" id="{00000000-0008-0000-0100-0000C0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193" name="Shape 193">
            <a:extLst>
              <a:ext uri="{FF2B5EF4-FFF2-40B4-BE49-F238E27FC236}">
                <a16:creationId xmlns:a16="http://schemas.microsoft.com/office/drawing/2014/main" id="{00000000-0008-0000-0100-0000C1000000}"/>
              </a:ext>
            </a:extLst>
          </xdr:cNvPr>
          <xdr:cNvSpPr/>
        </xdr:nvSpPr>
        <xdr:spPr>
          <a:xfrm>
            <a:off x="0" y="274319"/>
            <a:ext cx="4799330" cy="274320"/>
          </a:xfrm>
          <a:custGeom>
            <a:avLst/>
            <a:gdLst/>
            <a:ahLst/>
            <a:cxnLst/>
            <a:rect l="0" t="0" r="0" b="0"/>
            <a:pathLst>
              <a:path w="4799330" h="27432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274320"/>
                </a:lnTo>
                <a:lnTo>
                  <a:pt x="4799076" y="27432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3</xdr:col>
      <xdr:colOff>0</xdr:colOff>
      <xdr:row>244</xdr:row>
      <xdr:rowOff>-1</xdr:rowOff>
    </xdr:from>
    <xdr:ext cx="381000" cy="274320"/>
    <xdr:grpSp>
      <xdr:nvGrpSpPr>
        <xdr:cNvPr id="194" name="Group 194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GrpSpPr/>
      </xdr:nvGrpSpPr>
      <xdr:grpSpPr>
        <a:xfrm>
          <a:off x="5010150" y="86391749"/>
          <a:ext cx="381000" cy="274320"/>
          <a:chOff x="0" y="0"/>
          <a:chExt cx="381000" cy="274320"/>
        </a:xfrm>
      </xdr:grpSpPr>
      <xdr:sp macro="" textlink="">
        <xdr:nvSpPr>
          <xdr:cNvPr id="195" name="Shape 195">
            <a:extLst>
              <a:ext uri="{FF2B5EF4-FFF2-40B4-BE49-F238E27FC236}">
                <a16:creationId xmlns:a16="http://schemas.microsoft.com/office/drawing/2014/main" id="{00000000-0008-0000-0100-0000C3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96" name="Shape 196">
            <a:extLst>
              <a:ext uri="{FF2B5EF4-FFF2-40B4-BE49-F238E27FC236}">
                <a16:creationId xmlns:a16="http://schemas.microsoft.com/office/drawing/2014/main" id="{00000000-0008-0000-0100-0000C4000000}"/>
              </a:ext>
            </a:extLst>
          </xdr:cNvPr>
          <xdr:cNvSpPr/>
        </xdr:nvSpPr>
        <xdr:spPr>
          <a:xfrm>
            <a:off x="72669" y="8011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6852"/>
                </a:lnTo>
                <a:lnTo>
                  <a:pt x="157162" y="12280"/>
                </a:lnTo>
                <a:lnTo>
                  <a:pt x="155638" y="10756"/>
                </a:lnTo>
                <a:lnTo>
                  <a:pt x="154114" y="9232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818"/>
                </a:lnTo>
                <a:lnTo>
                  <a:pt x="146494" y="74866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56"/>
                </a:lnTo>
                <a:lnTo>
                  <a:pt x="129730" y="10756"/>
                </a:lnTo>
                <a:lnTo>
                  <a:pt x="135826" y="12280"/>
                </a:lnTo>
                <a:lnTo>
                  <a:pt x="138874" y="12280"/>
                </a:lnTo>
                <a:lnTo>
                  <a:pt x="154114" y="35140"/>
                </a:lnTo>
                <a:lnTo>
                  <a:pt x="154114" y="9232"/>
                </a:lnTo>
                <a:lnTo>
                  <a:pt x="149542" y="4660"/>
                </a:lnTo>
                <a:lnTo>
                  <a:pt x="144970" y="3136"/>
                </a:lnTo>
                <a:lnTo>
                  <a:pt x="138874" y="1612"/>
                </a:lnTo>
                <a:lnTo>
                  <a:pt x="135826" y="88"/>
                </a:lnTo>
                <a:lnTo>
                  <a:pt x="91541" y="88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4114" y="84010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246</xdr:row>
      <xdr:rowOff>1</xdr:rowOff>
    </xdr:from>
    <xdr:ext cx="381000" cy="274320"/>
    <xdr:grpSp>
      <xdr:nvGrpSpPr>
        <xdr:cNvPr id="197" name="Group 197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GrpSpPr/>
      </xdr:nvGrpSpPr>
      <xdr:grpSpPr>
        <a:xfrm>
          <a:off x="5010150" y="87068026"/>
          <a:ext cx="381000" cy="274320"/>
          <a:chOff x="0" y="0"/>
          <a:chExt cx="381000" cy="274320"/>
        </a:xfrm>
      </xdr:grpSpPr>
      <xdr:sp macro="" textlink="">
        <xdr:nvSpPr>
          <xdr:cNvPr id="198" name="Shape 198">
            <a:extLst>
              <a:ext uri="{FF2B5EF4-FFF2-40B4-BE49-F238E27FC236}">
                <a16:creationId xmlns:a16="http://schemas.microsoft.com/office/drawing/2014/main" id="{00000000-0008-0000-0100-0000C6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19"/>
                </a:moveTo>
                <a:lnTo>
                  <a:pt x="0" y="274319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19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199" name="Shape 199">
            <a:extLst>
              <a:ext uri="{FF2B5EF4-FFF2-40B4-BE49-F238E27FC236}">
                <a16:creationId xmlns:a16="http://schemas.microsoft.com/office/drawing/2014/main" id="{00000000-0008-0000-0100-0000C7000000}"/>
              </a:ext>
            </a:extLst>
          </xdr:cNvPr>
          <xdr:cNvSpPr/>
        </xdr:nvSpPr>
        <xdr:spPr>
          <a:xfrm>
            <a:off x="72669" y="81063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8188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8376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6664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4302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3716"/>
                </a:lnTo>
                <a:lnTo>
                  <a:pt x="143446" y="15328"/>
                </a:lnTo>
                <a:lnTo>
                  <a:pt x="146494" y="18376"/>
                </a:lnTo>
                <a:lnTo>
                  <a:pt x="149542" y="22948"/>
                </a:lnTo>
                <a:lnTo>
                  <a:pt x="152590" y="29044"/>
                </a:lnTo>
                <a:lnTo>
                  <a:pt x="154114" y="36664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1524"/>
                </a:lnTo>
                <a:lnTo>
                  <a:pt x="131254" y="0"/>
                </a:lnTo>
                <a:lnTo>
                  <a:pt x="91541" y="0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3446" y="88582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7812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8188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248</xdr:row>
      <xdr:rowOff>-1</xdr:rowOff>
    </xdr:from>
    <xdr:ext cx="381000" cy="274320"/>
    <xdr:grpSp>
      <xdr:nvGrpSpPr>
        <xdr:cNvPr id="200" name="Group 200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GrpSpPr/>
      </xdr:nvGrpSpPr>
      <xdr:grpSpPr>
        <a:xfrm>
          <a:off x="5010150" y="87753824"/>
          <a:ext cx="381000" cy="274320"/>
          <a:chOff x="0" y="0"/>
          <a:chExt cx="381000" cy="274320"/>
        </a:xfrm>
      </xdr:grpSpPr>
      <xdr:sp macro="" textlink="">
        <xdr:nvSpPr>
          <xdr:cNvPr id="201" name="Shape 201">
            <a:extLst>
              <a:ext uri="{FF2B5EF4-FFF2-40B4-BE49-F238E27FC236}">
                <a16:creationId xmlns:a16="http://schemas.microsoft.com/office/drawing/2014/main" id="{00000000-0008-0000-0100-0000C9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02" name="Shape 202">
            <a:extLst>
              <a:ext uri="{FF2B5EF4-FFF2-40B4-BE49-F238E27FC236}">
                <a16:creationId xmlns:a16="http://schemas.microsoft.com/office/drawing/2014/main" id="{00000000-0008-0000-0100-0000CA000000}"/>
              </a:ext>
            </a:extLst>
          </xdr:cNvPr>
          <xdr:cNvSpPr/>
        </xdr:nvSpPr>
        <xdr:spPr>
          <a:xfrm>
            <a:off x="72669" y="81927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0192"/>
                </a:lnTo>
                <a:lnTo>
                  <a:pt x="12192" y="0"/>
                </a:lnTo>
                <a:lnTo>
                  <a:pt x="0" y="0"/>
                </a:lnTo>
                <a:lnTo>
                  <a:pt x="0" y="90106"/>
                </a:lnTo>
                <a:lnTo>
                  <a:pt x="12192" y="90106"/>
                </a:lnTo>
                <a:lnTo>
                  <a:pt x="12192" y="18376"/>
                </a:lnTo>
                <a:lnTo>
                  <a:pt x="59537" y="90106"/>
                </a:lnTo>
                <a:lnTo>
                  <a:pt x="71729" y="90106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664"/>
                </a:moveTo>
                <a:lnTo>
                  <a:pt x="166408" y="29044"/>
                </a:lnTo>
                <a:lnTo>
                  <a:pt x="163360" y="22948"/>
                </a:lnTo>
                <a:lnTo>
                  <a:pt x="161836" y="16852"/>
                </a:lnTo>
                <a:lnTo>
                  <a:pt x="157162" y="10756"/>
                </a:lnTo>
                <a:lnTo>
                  <a:pt x="154114" y="8724"/>
                </a:lnTo>
                <a:lnTo>
                  <a:pt x="154114" y="35140"/>
                </a:lnTo>
                <a:lnTo>
                  <a:pt x="154114" y="56565"/>
                </a:lnTo>
                <a:lnTo>
                  <a:pt x="152590" y="61137"/>
                </a:lnTo>
                <a:lnTo>
                  <a:pt x="151066" y="67233"/>
                </a:lnTo>
                <a:lnTo>
                  <a:pt x="148018" y="70281"/>
                </a:lnTo>
                <a:lnTo>
                  <a:pt x="146494" y="73329"/>
                </a:lnTo>
                <a:lnTo>
                  <a:pt x="134302" y="79425"/>
                </a:lnTo>
                <a:lnTo>
                  <a:pt x="103822" y="79425"/>
                </a:lnTo>
                <a:lnTo>
                  <a:pt x="103822" y="10756"/>
                </a:lnTo>
                <a:lnTo>
                  <a:pt x="135826" y="10756"/>
                </a:lnTo>
                <a:lnTo>
                  <a:pt x="138874" y="12280"/>
                </a:lnTo>
                <a:lnTo>
                  <a:pt x="143446" y="13804"/>
                </a:lnTo>
                <a:lnTo>
                  <a:pt x="146494" y="16852"/>
                </a:lnTo>
                <a:lnTo>
                  <a:pt x="149542" y="22948"/>
                </a:lnTo>
                <a:lnTo>
                  <a:pt x="152590" y="27520"/>
                </a:lnTo>
                <a:lnTo>
                  <a:pt x="154114" y="35140"/>
                </a:lnTo>
                <a:lnTo>
                  <a:pt x="154114" y="8724"/>
                </a:lnTo>
                <a:lnTo>
                  <a:pt x="152590" y="7708"/>
                </a:lnTo>
                <a:lnTo>
                  <a:pt x="149542" y="4660"/>
                </a:lnTo>
                <a:lnTo>
                  <a:pt x="144970" y="1612"/>
                </a:lnTo>
                <a:lnTo>
                  <a:pt x="138874" y="88"/>
                </a:lnTo>
                <a:lnTo>
                  <a:pt x="91541" y="88"/>
                </a:lnTo>
                <a:lnTo>
                  <a:pt x="91541" y="90106"/>
                </a:lnTo>
                <a:lnTo>
                  <a:pt x="135826" y="90106"/>
                </a:lnTo>
                <a:lnTo>
                  <a:pt x="138874" y="88569"/>
                </a:lnTo>
                <a:lnTo>
                  <a:pt x="148018" y="85521"/>
                </a:lnTo>
                <a:lnTo>
                  <a:pt x="154114" y="82473"/>
                </a:lnTo>
                <a:lnTo>
                  <a:pt x="155638" y="79425"/>
                </a:lnTo>
                <a:lnTo>
                  <a:pt x="158788" y="76377"/>
                </a:lnTo>
                <a:lnTo>
                  <a:pt x="161836" y="71805"/>
                </a:lnTo>
                <a:lnTo>
                  <a:pt x="163360" y="68757"/>
                </a:lnTo>
                <a:lnTo>
                  <a:pt x="164884" y="62661"/>
                </a:lnTo>
                <a:lnTo>
                  <a:pt x="166408" y="58089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250</xdr:row>
      <xdr:rowOff>1</xdr:rowOff>
    </xdr:from>
    <xdr:ext cx="381000" cy="276225"/>
    <xdr:grpSp>
      <xdr:nvGrpSpPr>
        <xdr:cNvPr id="203" name="Group 203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GrpSpPr/>
      </xdr:nvGrpSpPr>
      <xdr:grpSpPr>
        <a:xfrm>
          <a:off x="5010150" y="88430101"/>
          <a:ext cx="381000" cy="276225"/>
          <a:chOff x="0" y="0"/>
          <a:chExt cx="381000" cy="276225"/>
        </a:xfrm>
      </xdr:grpSpPr>
      <xdr:sp macro="" textlink="">
        <xdr:nvSpPr>
          <xdr:cNvPr id="204" name="Shape 204">
            <a:extLst>
              <a:ext uri="{FF2B5EF4-FFF2-40B4-BE49-F238E27FC236}">
                <a16:creationId xmlns:a16="http://schemas.microsoft.com/office/drawing/2014/main" id="{00000000-0008-0000-0100-0000CC000000}"/>
              </a:ext>
            </a:extLst>
          </xdr:cNvPr>
          <xdr:cNvSpPr/>
        </xdr:nvSpPr>
        <xdr:spPr>
          <a:xfrm>
            <a:off x="0" y="0"/>
            <a:ext cx="381000" cy="276225"/>
          </a:xfrm>
          <a:custGeom>
            <a:avLst/>
            <a:gdLst/>
            <a:ahLst/>
            <a:cxnLst/>
            <a:rect l="0" t="0" r="0" b="0"/>
            <a:pathLst>
              <a:path w="381000" h="276225">
                <a:moveTo>
                  <a:pt x="381000" y="275844"/>
                </a:moveTo>
                <a:lnTo>
                  <a:pt x="0" y="275844"/>
                </a:lnTo>
                <a:lnTo>
                  <a:pt x="0" y="0"/>
                </a:lnTo>
                <a:lnTo>
                  <a:pt x="381000" y="0"/>
                </a:lnTo>
                <a:lnTo>
                  <a:pt x="381000" y="275844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05" name="Shape 205">
            <a:extLst>
              <a:ext uri="{FF2B5EF4-FFF2-40B4-BE49-F238E27FC236}">
                <a16:creationId xmlns:a16="http://schemas.microsoft.com/office/drawing/2014/main" id="{00000000-0008-0000-0100-0000CD000000}"/>
              </a:ext>
            </a:extLst>
          </xdr:cNvPr>
          <xdr:cNvSpPr/>
        </xdr:nvSpPr>
        <xdr:spPr>
          <a:xfrm>
            <a:off x="72669" y="82867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0017"/>
                </a:lnTo>
                <a:lnTo>
                  <a:pt x="12192" y="90017"/>
                </a:lnTo>
                <a:lnTo>
                  <a:pt x="12192" y="18288"/>
                </a:lnTo>
                <a:lnTo>
                  <a:pt x="59537" y="90017"/>
                </a:lnTo>
                <a:lnTo>
                  <a:pt x="71729" y="90017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0668"/>
                </a:lnTo>
                <a:lnTo>
                  <a:pt x="154114" y="8636"/>
                </a:lnTo>
                <a:lnTo>
                  <a:pt x="154114" y="35052"/>
                </a:lnTo>
                <a:lnTo>
                  <a:pt x="154114" y="56489"/>
                </a:lnTo>
                <a:lnTo>
                  <a:pt x="152590" y="62585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46494" y="16764"/>
                </a:lnTo>
                <a:lnTo>
                  <a:pt x="149542" y="22860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8636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0017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3921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252</xdr:row>
      <xdr:rowOff>-2</xdr:rowOff>
    </xdr:from>
    <xdr:ext cx="381000" cy="274320"/>
    <xdr:grpSp>
      <xdr:nvGrpSpPr>
        <xdr:cNvPr id="206" name="Group 206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GrpSpPr/>
      </xdr:nvGrpSpPr>
      <xdr:grpSpPr>
        <a:xfrm>
          <a:off x="5010150" y="89125423"/>
          <a:ext cx="381000" cy="274320"/>
          <a:chOff x="0" y="0"/>
          <a:chExt cx="381000" cy="274320"/>
        </a:xfrm>
      </xdr:grpSpPr>
      <xdr:sp macro="" textlink="">
        <xdr:nvSpPr>
          <xdr:cNvPr id="207" name="Shape 207">
            <a:extLst>
              <a:ext uri="{FF2B5EF4-FFF2-40B4-BE49-F238E27FC236}">
                <a16:creationId xmlns:a16="http://schemas.microsoft.com/office/drawing/2014/main" id="{00000000-0008-0000-0100-0000CF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08" name="Shape 208">
            <a:extLst>
              <a:ext uri="{FF2B5EF4-FFF2-40B4-BE49-F238E27FC236}">
                <a16:creationId xmlns:a16="http://schemas.microsoft.com/office/drawing/2014/main" id="{00000000-0008-0000-0100-0000D0000000}"/>
              </a:ext>
            </a:extLst>
          </xdr:cNvPr>
          <xdr:cNvSpPr/>
        </xdr:nvSpPr>
        <xdr:spPr>
          <a:xfrm>
            <a:off x="72669" y="80682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29044"/>
                </a:lnTo>
                <a:lnTo>
                  <a:pt x="163360" y="22948"/>
                </a:lnTo>
                <a:lnTo>
                  <a:pt x="161836" y="16852"/>
                </a:lnTo>
                <a:lnTo>
                  <a:pt x="157162" y="12280"/>
                </a:lnTo>
                <a:lnTo>
                  <a:pt x="155638" y="10756"/>
                </a:lnTo>
                <a:lnTo>
                  <a:pt x="154114" y="9232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2590" y="62572"/>
                </a:lnTo>
                <a:lnTo>
                  <a:pt x="151066" y="67246"/>
                </a:lnTo>
                <a:lnTo>
                  <a:pt x="148018" y="70294"/>
                </a:lnTo>
                <a:lnTo>
                  <a:pt x="146494" y="73342"/>
                </a:lnTo>
                <a:lnTo>
                  <a:pt x="143446" y="76390"/>
                </a:lnTo>
                <a:lnTo>
                  <a:pt x="140398" y="77914"/>
                </a:lnTo>
                <a:lnTo>
                  <a:pt x="137350" y="77914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56"/>
                </a:lnTo>
                <a:lnTo>
                  <a:pt x="135826" y="10756"/>
                </a:lnTo>
                <a:lnTo>
                  <a:pt x="138874" y="12280"/>
                </a:lnTo>
                <a:lnTo>
                  <a:pt x="143446" y="13804"/>
                </a:lnTo>
                <a:lnTo>
                  <a:pt x="152590" y="27520"/>
                </a:lnTo>
                <a:lnTo>
                  <a:pt x="154114" y="35140"/>
                </a:lnTo>
                <a:lnTo>
                  <a:pt x="154114" y="9232"/>
                </a:lnTo>
                <a:lnTo>
                  <a:pt x="149542" y="4660"/>
                </a:lnTo>
                <a:lnTo>
                  <a:pt x="144970" y="1612"/>
                </a:lnTo>
                <a:lnTo>
                  <a:pt x="138874" y="1612"/>
                </a:lnTo>
                <a:lnTo>
                  <a:pt x="135826" y="88"/>
                </a:lnTo>
                <a:lnTo>
                  <a:pt x="91541" y="88"/>
                </a:lnTo>
                <a:lnTo>
                  <a:pt x="91541" y="91630"/>
                </a:lnTo>
                <a:lnTo>
                  <a:pt x="129730" y="91630"/>
                </a:lnTo>
                <a:lnTo>
                  <a:pt x="135826" y="90106"/>
                </a:lnTo>
                <a:lnTo>
                  <a:pt x="138874" y="88582"/>
                </a:lnTo>
                <a:lnTo>
                  <a:pt x="143446" y="88582"/>
                </a:lnTo>
                <a:lnTo>
                  <a:pt x="148018" y="87058"/>
                </a:lnTo>
                <a:lnTo>
                  <a:pt x="151066" y="85534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2572"/>
                </a:lnTo>
                <a:lnTo>
                  <a:pt x="166408" y="58000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254</xdr:row>
      <xdr:rowOff>-1</xdr:rowOff>
    </xdr:from>
    <xdr:ext cx="381000" cy="274320"/>
    <xdr:grpSp>
      <xdr:nvGrpSpPr>
        <xdr:cNvPr id="209" name="Group 209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GrpSpPr/>
      </xdr:nvGrpSpPr>
      <xdr:grpSpPr>
        <a:xfrm>
          <a:off x="5010150" y="89811224"/>
          <a:ext cx="381000" cy="274320"/>
          <a:chOff x="0" y="0"/>
          <a:chExt cx="381000" cy="274320"/>
        </a:xfrm>
      </xdr:grpSpPr>
      <xdr:sp macro="" textlink="">
        <xdr:nvSpPr>
          <xdr:cNvPr id="210" name="Shape 210">
            <a:extLst>
              <a:ext uri="{FF2B5EF4-FFF2-40B4-BE49-F238E27FC236}">
                <a16:creationId xmlns:a16="http://schemas.microsoft.com/office/drawing/2014/main" id="{00000000-0008-0000-0100-0000D2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11" name="Shape 211">
            <a:extLst>
              <a:ext uri="{FF2B5EF4-FFF2-40B4-BE49-F238E27FC236}">
                <a16:creationId xmlns:a16="http://schemas.microsoft.com/office/drawing/2014/main" id="{00000000-0008-0000-0100-0000D3000000}"/>
              </a:ext>
            </a:extLst>
          </xdr:cNvPr>
          <xdr:cNvSpPr/>
        </xdr:nvSpPr>
        <xdr:spPr>
          <a:xfrm>
            <a:off x="72669" y="80009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13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766"/>
                </a:moveTo>
                <a:lnTo>
                  <a:pt x="166408" y="29057"/>
                </a:lnTo>
                <a:lnTo>
                  <a:pt x="163360" y="22961"/>
                </a:lnTo>
                <a:lnTo>
                  <a:pt x="161836" y="16865"/>
                </a:lnTo>
                <a:lnTo>
                  <a:pt x="157162" y="12293"/>
                </a:lnTo>
                <a:lnTo>
                  <a:pt x="155638" y="10769"/>
                </a:lnTo>
                <a:lnTo>
                  <a:pt x="154114" y="9245"/>
                </a:lnTo>
                <a:lnTo>
                  <a:pt x="154114" y="35242"/>
                </a:lnTo>
                <a:lnTo>
                  <a:pt x="154114" y="58102"/>
                </a:lnTo>
                <a:lnTo>
                  <a:pt x="151066" y="67246"/>
                </a:lnTo>
                <a:lnTo>
                  <a:pt x="148018" y="71818"/>
                </a:lnTo>
                <a:lnTo>
                  <a:pt x="143446" y="76390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69"/>
                </a:lnTo>
                <a:lnTo>
                  <a:pt x="135826" y="10769"/>
                </a:lnTo>
                <a:lnTo>
                  <a:pt x="138874" y="12293"/>
                </a:lnTo>
                <a:lnTo>
                  <a:pt x="143446" y="13817"/>
                </a:lnTo>
                <a:lnTo>
                  <a:pt x="152590" y="27533"/>
                </a:lnTo>
                <a:lnTo>
                  <a:pt x="154114" y="35242"/>
                </a:lnTo>
                <a:lnTo>
                  <a:pt x="154114" y="9245"/>
                </a:lnTo>
                <a:lnTo>
                  <a:pt x="149542" y="4673"/>
                </a:lnTo>
                <a:lnTo>
                  <a:pt x="144970" y="3149"/>
                </a:lnTo>
                <a:lnTo>
                  <a:pt x="138874" y="1625"/>
                </a:lnTo>
                <a:lnTo>
                  <a:pt x="135826" y="101"/>
                </a:lnTo>
                <a:lnTo>
                  <a:pt x="91541" y="101"/>
                </a:lnTo>
                <a:lnTo>
                  <a:pt x="91541" y="91630"/>
                </a:lnTo>
                <a:lnTo>
                  <a:pt x="129730" y="91630"/>
                </a:lnTo>
                <a:lnTo>
                  <a:pt x="135826" y="90106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1066" y="85534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4884" y="64198"/>
                </a:lnTo>
                <a:lnTo>
                  <a:pt x="167932" y="52006"/>
                </a:lnTo>
                <a:lnTo>
                  <a:pt x="167932" y="3676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256</xdr:row>
      <xdr:rowOff>1</xdr:rowOff>
    </xdr:from>
    <xdr:ext cx="381000" cy="274320"/>
    <xdr:grpSp>
      <xdr:nvGrpSpPr>
        <xdr:cNvPr id="212" name="Group 212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GrpSpPr/>
      </xdr:nvGrpSpPr>
      <xdr:grpSpPr>
        <a:xfrm>
          <a:off x="5010150" y="90487501"/>
          <a:ext cx="381000" cy="274320"/>
          <a:chOff x="0" y="0"/>
          <a:chExt cx="381000" cy="274320"/>
        </a:xfrm>
      </xdr:grpSpPr>
      <xdr:sp macro="" textlink="">
        <xdr:nvSpPr>
          <xdr:cNvPr id="213" name="Shape 213">
            <a:extLst>
              <a:ext uri="{FF2B5EF4-FFF2-40B4-BE49-F238E27FC236}">
                <a16:creationId xmlns:a16="http://schemas.microsoft.com/office/drawing/2014/main" id="{00000000-0008-0000-0100-0000D5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14" name="Shape 214">
            <a:extLst>
              <a:ext uri="{FF2B5EF4-FFF2-40B4-BE49-F238E27FC236}">
                <a16:creationId xmlns:a16="http://schemas.microsoft.com/office/drawing/2014/main" id="{00000000-0008-0000-0100-0000D6000000}"/>
              </a:ext>
            </a:extLst>
          </xdr:cNvPr>
          <xdr:cNvSpPr/>
        </xdr:nvSpPr>
        <xdr:spPr>
          <a:xfrm>
            <a:off x="72669" y="80962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13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77"/>
                </a:moveTo>
                <a:lnTo>
                  <a:pt x="166408" y="30581"/>
                </a:lnTo>
                <a:lnTo>
                  <a:pt x="163360" y="24485"/>
                </a:lnTo>
                <a:lnTo>
                  <a:pt x="161836" y="16865"/>
                </a:lnTo>
                <a:lnTo>
                  <a:pt x="157162" y="12293"/>
                </a:lnTo>
                <a:lnTo>
                  <a:pt x="155638" y="10769"/>
                </a:lnTo>
                <a:lnTo>
                  <a:pt x="154114" y="9245"/>
                </a:lnTo>
                <a:lnTo>
                  <a:pt x="154114" y="35153"/>
                </a:lnTo>
                <a:lnTo>
                  <a:pt x="154114" y="58013"/>
                </a:lnTo>
                <a:lnTo>
                  <a:pt x="151066" y="67157"/>
                </a:lnTo>
                <a:lnTo>
                  <a:pt x="148018" y="71818"/>
                </a:lnTo>
                <a:lnTo>
                  <a:pt x="146494" y="74866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69"/>
                </a:lnTo>
                <a:lnTo>
                  <a:pt x="129730" y="10769"/>
                </a:lnTo>
                <a:lnTo>
                  <a:pt x="135826" y="12293"/>
                </a:lnTo>
                <a:lnTo>
                  <a:pt x="138874" y="12293"/>
                </a:lnTo>
                <a:lnTo>
                  <a:pt x="154114" y="35153"/>
                </a:lnTo>
                <a:lnTo>
                  <a:pt x="154114" y="9245"/>
                </a:lnTo>
                <a:lnTo>
                  <a:pt x="149542" y="4673"/>
                </a:lnTo>
                <a:lnTo>
                  <a:pt x="144970" y="3149"/>
                </a:lnTo>
                <a:lnTo>
                  <a:pt x="138874" y="1625"/>
                </a:lnTo>
                <a:lnTo>
                  <a:pt x="135826" y="101"/>
                </a:lnTo>
                <a:lnTo>
                  <a:pt x="91541" y="101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4114" y="84010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4109"/>
                </a:lnTo>
                <a:lnTo>
                  <a:pt x="167932" y="51917"/>
                </a:lnTo>
                <a:lnTo>
                  <a:pt x="167932" y="36677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0</xdr:col>
      <xdr:colOff>179831</xdr:colOff>
      <xdr:row>275</xdr:row>
      <xdr:rowOff>0</xdr:rowOff>
    </xdr:from>
    <xdr:ext cx="7426959" cy="548640"/>
    <xdr:grpSp>
      <xdr:nvGrpSpPr>
        <xdr:cNvPr id="215" name="Group 215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GrpSpPr/>
      </xdr:nvGrpSpPr>
      <xdr:grpSpPr>
        <a:xfrm>
          <a:off x="179831" y="96383475"/>
          <a:ext cx="7426959" cy="548640"/>
          <a:chOff x="0" y="0"/>
          <a:chExt cx="7426959" cy="548640"/>
        </a:xfrm>
      </xdr:grpSpPr>
      <xdr:sp macro="" textlink="">
        <xdr:nvSpPr>
          <xdr:cNvPr id="216" name="Shape 216">
            <a:extLst>
              <a:ext uri="{FF2B5EF4-FFF2-40B4-BE49-F238E27FC236}">
                <a16:creationId xmlns:a16="http://schemas.microsoft.com/office/drawing/2014/main" id="{00000000-0008-0000-0100-0000D8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217" name="image4.png">
            <a:extLst>
              <a:ext uri="{FF2B5EF4-FFF2-40B4-BE49-F238E27FC236}">
                <a16:creationId xmlns:a16="http://schemas.microsoft.com/office/drawing/2014/main" id="{00000000-0008-0000-0100-0000D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218" name="Shape 218">
            <a:extLst>
              <a:ext uri="{FF2B5EF4-FFF2-40B4-BE49-F238E27FC236}">
                <a16:creationId xmlns:a16="http://schemas.microsoft.com/office/drawing/2014/main" id="{00000000-0008-0000-0100-0000DA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219" name="Shape 219">
            <a:extLst>
              <a:ext uri="{FF2B5EF4-FFF2-40B4-BE49-F238E27FC236}">
                <a16:creationId xmlns:a16="http://schemas.microsoft.com/office/drawing/2014/main" id="{00000000-0008-0000-0100-0000DB000000}"/>
              </a:ext>
            </a:extLst>
          </xdr:cNvPr>
          <xdr:cNvSpPr/>
        </xdr:nvSpPr>
        <xdr:spPr>
          <a:xfrm>
            <a:off x="0" y="274319"/>
            <a:ext cx="4799330" cy="274320"/>
          </a:xfrm>
          <a:custGeom>
            <a:avLst/>
            <a:gdLst/>
            <a:ahLst/>
            <a:cxnLst/>
            <a:rect l="0" t="0" r="0" b="0"/>
            <a:pathLst>
              <a:path w="4799330" h="27432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274320"/>
                </a:lnTo>
                <a:lnTo>
                  <a:pt x="4799076" y="27432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3</xdr:col>
      <xdr:colOff>0</xdr:colOff>
      <xdr:row>260</xdr:row>
      <xdr:rowOff>2</xdr:rowOff>
    </xdr:from>
    <xdr:ext cx="381000" cy="274320"/>
    <xdr:grpSp>
      <xdr:nvGrpSpPr>
        <xdr:cNvPr id="220" name="Group 220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GrpSpPr/>
      </xdr:nvGrpSpPr>
      <xdr:grpSpPr>
        <a:xfrm>
          <a:off x="5010150" y="91687652"/>
          <a:ext cx="381000" cy="274320"/>
          <a:chOff x="0" y="0"/>
          <a:chExt cx="381000" cy="274320"/>
        </a:xfrm>
      </xdr:grpSpPr>
      <xdr:sp macro="" textlink="">
        <xdr:nvSpPr>
          <xdr:cNvPr id="221" name="Shape 221">
            <a:extLst>
              <a:ext uri="{FF2B5EF4-FFF2-40B4-BE49-F238E27FC236}">
                <a16:creationId xmlns:a16="http://schemas.microsoft.com/office/drawing/2014/main" id="{00000000-0008-0000-0100-0000DD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22" name="Shape 222">
            <a:extLst>
              <a:ext uri="{FF2B5EF4-FFF2-40B4-BE49-F238E27FC236}">
                <a16:creationId xmlns:a16="http://schemas.microsoft.com/office/drawing/2014/main" id="{00000000-0008-0000-0100-0000DE000000}"/>
              </a:ext>
            </a:extLst>
          </xdr:cNvPr>
          <xdr:cNvSpPr/>
        </xdr:nvSpPr>
        <xdr:spPr>
          <a:xfrm>
            <a:off x="72669" y="8011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6852"/>
                </a:lnTo>
                <a:lnTo>
                  <a:pt x="157162" y="12280"/>
                </a:lnTo>
                <a:lnTo>
                  <a:pt x="155638" y="10756"/>
                </a:lnTo>
                <a:lnTo>
                  <a:pt x="154114" y="9232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818"/>
                </a:lnTo>
                <a:lnTo>
                  <a:pt x="146494" y="74866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56"/>
                </a:lnTo>
                <a:lnTo>
                  <a:pt x="129730" y="10756"/>
                </a:lnTo>
                <a:lnTo>
                  <a:pt x="135826" y="12280"/>
                </a:lnTo>
                <a:lnTo>
                  <a:pt x="138874" y="12280"/>
                </a:lnTo>
                <a:lnTo>
                  <a:pt x="154114" y="35140"/>
                </a:lnTo>
                <a:lnTo>
                  <a:pt x="154114" y="9232"/>
                </a:lnTo>
                <a:lnTo>
                  <a:pt x="149542" y="4660"/>
                </a:lnTo>
                <a:lnTo>
                  <a:pt x="144970" y="3136"/>
                </a:lnTo>
                <a:lnTo>
                  <a:pt x="138874" y="1612"/>
                </a:lnTo>
                <a:lnTo>
                  <a:pt x="135826" y="88"/>
                </a:lnTo>
                <a:lnTo>
                  <a:pt x="91541" y="88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4114" y="84010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263</xdr:row>
      <xdr:rowOff>1</xdr:rowOff>
    </xdr:from>
    <xdr:ext cx="381000" cy="274320"/>
    <xdr:grpSp>
      <xdr:nvGrpSpPr>
        <xdr:cNvPr id="223" name="Group 223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GrpSpPr/>
      </xdr:nvGrpSpPr>
      <xdr:grpSpPr>
        <a:xfrm>
          <a:off x="5010150" y="92363926"/>
          <a:ext cx="381000" cy="274320"/>
          <a:chOff x="0" y="0"/>
          <a:chExt cx="381000" cy="274320"/>
        </a:xfrm>
      </xdr:grpSpPr>
      <xdr:sp macro="" textlink="">
        <xdr:nvSpPr>
          <xdr:cNvPr id="224" name="Shape 224">
            <a:extLst>
              <a:ext uri="{FF2B5EF4-FFF2-40B4-BE49-F238E27FC236}">
                <a16:creationId xmlns:a16="http://schemas.microsoft.com/office/drawing/2014/main" id="{00000000-0008-0000-0100-0000E0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19"/>
                </a:moveTo>
                <a:lnTo>
                  <a:pt x="0" y="274319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19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25" name="Shape 225">
            <a:extLst>
              <a:ext uri="{FF2B5EF4-FFF2-40B4-BE49-F238E27FC236}">
                <a16:creationId xmlns:a16="http://schemas.microsoft.com/office/drawing/2014/main" id="{00000000-0008-0000-0100-0000E1000000}"/>
              </a:ext>
            </a:extLst>
          </xdr:cNvPr>
          <xdr:cNvSpPr/>
        </xdr:nvSpPr>
        <xdr:spPr>
          <a:xfrm>
            <a:off x="72669" y="81063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8188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8376"/>
                </a:lnTo>
                <a:lnTo>
                  <a:pt x="157162" y="12280"/>
                </a:lnTo>
                <a:lnTo>
                  <a:pt x="155638" y="10756"/>
                </a:lnTo>
                <a:lnTo>
                  <a:pt x="154114" y="9232"/>
                </a:lnTo>
                <a:lnTo>
                  <a:pt x="154114" y="36664"/>
                </a:lnTo>
                <a:lnTo>
                  <a:pt x="154114" y="58000"/>
                </a:lnTo>
                <a:lnTo>
                  <a:pt x="152590" y="62572"/>
                </a:lnTo>
                <a:lnTo>
                  <a:pt x="151066" y="67246"/>
                </a:lnTo>
                <a:lnTo>
                  <a:pt x="148018" y="71818"/>
                </a:lnTo>
                <a:lnTo>
                  <a:pt x="146494" y="74866"/>
                </a:lnTo>
                <a:lnTo>
                  <a:pt x="134302" y="80962"/>
                </a:lnTo>
                <a:lnTo>
                  <a:pt x="103822" y="80962"/>
                </a:lnTo>
                <a:lnTo>
                  <a:pt x="103822" y="10756"/>
                </a:lnTo>
                <a:lnTo>
                  <a:pt x="129730" y="10756"/>
                </a:lnTo>
                <a:lnTo>
                  <a:pt x="135826" y="12280"/>
                </a:lnTo>
                <a:lnTo>
                  <a:pt x="138874" y="13804"/>
                </a:lnTo>
                <a:lnTo>
                  <a:pt x="143446" y="15328"/>
                </a:lnTo>
                <a:lnTo>
                  <a:pt x="146494" y="18376"/>
                </a:lnTo>
                <a:lnTo>
                  <a:pt x="149542" y="22948"/>
                </a:lnTo>
                <a:lnTo>
                  <a:pt x="152590" y="29044"/>
                </a:lnTo>
                <a:lnTo>
                  <a:pt x="154114" y="36664"/>
                </a:lnTo>
                <a:lnTo>
                  <a:pt x="154114" y="9232"/>
                </a:lnTo>
                <a:lnTo>
                  <a:pt x="149542" y="4660"/>
                </a:lnTo>
                <a:lnTo>
                  <a:pt x="144970" y="3136"/>
                </a:lnTo>
                <a:lnTo>
                  <a:pt x="138874" y="1612"/>
                </a:lnTo>
                <a:lnTo>
                  <a:pt x="135826" y="1612"/>
                </a:lnTo>
                <a:lnTo>
                  <a:pt x="131254" y="88"/>
                </a:lnTo>
                <a:lnTo>
                  <a:pt x="91541" y="88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4114" y="84010"/>
                </a:lnTo>
                <a:lnTo>
                  <a:pt x="155638" y="80962"/>
                </a:lnTo>
                <a:lnTo>
                  <a:pt x="158788" y="77914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8188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265</xdr:row>
      <xdr:rowOff>-1</xdr:rowOff>
    </xdr:from>
    <xdr:ext cx="381000" cy="274320"/>
    <xdr:grpSp>
      <xdr:nvGrpSpPr>
        <xdr:cNvPr id="226" name="Group 226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GrpSpPr/>
      </xdr:nvGrpSpPr>
      <xdr:grpSpPr>
        <a:xfrm>
          <a:off x="5010150" y="93049724"/>
          <a:ext cx="381000" cy="274320"/>
          <a:chOff x="0" y="0"/>
          <a:chExt cx="381000" cy="274320"/>
        </a:xfrm>
      </xdr:grpSpPr>
      <xdr:sp macro="" textlink="">
        <xdr:nvSpPr>
          <xdr:cNvPr id="227" name="Shape 227">
            <a:extLst>
              <a:ext uri="{FF2B5EF4-FFF2-40B4-BE49-F238E27FC236}">
                <a16:creationId xmlns:a16="http://schemas.microsoft.com/office/drawing/2014/main" id="{00000000-0008-0000-0100-0000E3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28" name="Shape 228">
            <a:extLst>
              <a:ext uri="{FF2B5EF4-FFF2-40B4-BE49-F238E27FC236}">
                <a16:creationId xmlns:a16="http://schemas.microsoft.com/office/drawing/2014/main" id="{00000000-0008-0000-0100-0000E4000000}"/>
              </a:ext>
            </a:extLst>
          </xdr:cNvPr>
          <xdr:cNvSpPr/>
        </xdr:nvSpPr>
        <xdr:spPr>
          <a:xfrm>
            <a:off x="72669" y="81914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101"/>
                </a:moveTo>
                <a:lnTo>
                  <a:pt x="59537" y="101"/>
                </a:lnTo>
                <a:lnTo>
                  <a:pt x="59537" y="70307"/>
                </a:lnTo>
                <a:lnTo>
                  <a:pt x="12192" y="101"/>
                </a:lnTo>
                <a:lnTo>
                  <a:pt x="0" y="101"/>
                </a:lnTo>
                <a:lnTo>
                  <a:pt x="0" y="90119"/>
                </a:lnTo>
                <a:lnTo>
                  <a:pt x="12192" y="90119"/>
                </a:lnTo>
                <a:lnTo>
                  <a:pt x="12192" y="18389"/>
                </a:lnTo>
                <a:lnTo>
                  <a:pt x="59537" y="90119"/>
                </a:lnTo>
                <a:lnTo>
                  <a:pt x="71729" y="90119"/>
                </a:lnTo>
                <a:lnTo>
                  <a:pt x="71729" y="101"/>
                </a:lnTo>
                <a:close/>
              </a:path>
              <a:path w="168275" h="90170">
                <a:moveTo>
                  <a:pt x="167932" y="36677"/>
                </a:moveTo>
                <a:lnTo>
                  <a:pt x="166408" y="29057"/>
                </a:lnTo>
                <a:lnTo>
                  <a:pt x="163360" y="22961"/>
                </a:lnTo>
                <a:lnTo>
                  <a:pt x="161836" y="16865"/>
                </a:lnTo>
                <a:lnTo>
                  <a:pt x="157162" y="10769"/>
                </a:lnTo>
                <a:lnTo>
                  <a:pt x="154114" y="8737"/>
                </a:lnTo>
                <a:lnTo>
                  <a:pt x="154114" y="35153"/>
                </a:lnTo>
                <a:lnTo>
                  <a:pt x="154114" y="56489"/>
                </a:lnTo>
                <a:lnTo>
                  <a:pt x="152590" y="61061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43446" y="74866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69"/>
                </a:lnTo>
                <a:lnTo>
                  <a:pt x="135826" y="10769"/>
                </a:lnTo>
                <a:lnTo>
                  <a:pt x="138874" y="12293"/>
                </a:lnTo>
                <a:lnTo>
                  <a:pt x="143446" y="13817"/>
                </a:lnTo>
                <a:lnTo>
                  <a:pt x="146494" y="16865"/>
                </a:lnTo>
                <a:lnTo>
                  <a:pt x="149542" y="22961"/>
                </a:lnTo>
                <a:lnTo>
                  <a:pt x="152590" y="27533"/>
                </a:lnTo>
                <a:lnTo>
                  <a:pt x="154114" y="35153"/>
                </a:lnTo>
                <a:lnTo>
                  <a:pt x="154114" y="8737"/>
                </a:lnTo>
                <a:lnTo>
                  <a:pt x="152590" y="7721"/>
                </a:lnTo>
                <a:lnTo>
                  <a:pt x="149542" y="4673"/>
                </a:lnTo>
                <a:lnTo>
                  <a:pt x="144970" y="1625"/>
                </a:lnTo>
                <a:lnTo>
                  <a:pt x="138874" y="0"/>
                </a:lnTo>
                <a:lnTo>
                  <a:pt x="91541" y="0"/>
                </a:lnTo>
                <a:lnTo>
                  <a:pt x="91541" y="90119"/>
                </a:lnTo>
                <a:lnTo>
                  <a:pt x="135826" y="90119"/>
                </a:lnTo>
                <a:lnTo>
                  <a:pt x="138874" y="88582"/>
                </a:lnTo>
                <a:lnTo>
                  <a:pt x="148018" y="85534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1729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677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267</xdr:row>
      <xdr:rowOff>1</xdr:rowOff>
    </xdr:from>
    <xdr:ext cx="381000" cy="276225"/>
    <xdr:grpSp>
      <xdr:nvGrpSpPr>
        <xdr:cNvPr id="229" name="Group 229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GrpSpPr/>
      </xdr:nvGrpSpPr>
      <xdr:grpSpPr>
        <a:xfrm>
          <a:off x="5010150" y="93726001"/>
          <a:ext cx="381000" cy="276225"/>
          <a:chOff x="0" y="0"/>
          <a:chExt cx="381000" cy="276225"/>
        </a:xfrm>
      </xdr:grpSpPr>
      <xdr:sp macro="" textlink="">
        <xdr:nvSpPr>
          <xdr:cNvPr id="230" name="Shape 230">
            <a:extLst>
              <a:ext uri="{FF2B5EF4-FFF2-40B4-BE49-F238E27FC236}">
                <a16:creationId xmlns:a16="http://schemas.microsoft.com/office/drawing/2014/main" id="{00000000-0008-0000-0100-0000E6000000}"/>
              </a:ext>
            </a:extLst>
          </xdr:cNvPr>
          <xdr:cNvSpPr/>
        </xdr:nvSpPr>
        <xdr:spPr>
          <a:xfrm>
            <a:off x="0" y="0"/>
            <a:ext cx="381000" cy="276225"/>
          </a:xfrm>
          <a:custGeom>
            <a:avLst/>
            <a:gdLst/>
            <a:ahLst/>
            <a:cxnLst/>
            <a:rect l="0" t="0" r="0" b="0"/>
            <a:pathLst>
              <a:path w="381000" h="276225">
                <a:moveTo>
                  <a:pt x="381000" y="275844"/>
                </a:moveTo>
                <a:lnTo>
                  <a:pt x="0" y="275844"/>
                </a:lnTo>
                <a:lnTo>
                  <a:pt x="0" y="0"/>
                </a:lnTo>
                <a:lnTo>
                  <a:pt x="381000" y="0"/>
                </a:lnTo>
                <a:lnTo>
                  <a:pt x="381000" y="275844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31" name="Shape 231">
            <a:extLst>
              <a:ext uri="{FF2B5EF4-FFF2-40B4-BE49-F238E27FC236}">
                <a16:creationId xmlns:a16="http://schemas.microsoft.com/office/drawing/2014/main" id="{00000000-0008-0000-0100-0000E7000000}"/>
              </a:ext>
            </a:extLst>
          </xdr:cNvPr>
          <xdr:cNvSpPr/>
        </xdr:nvSpPr>
        <xdr:spPr>
          <a:xfrm>
            <a:off x="72669" y="82867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0017"/>
                </a:lnTo>
                <a:lnTo>
                  <a:pt x="12192" y="90017"/>
                </a:lnTo>
                <a:lnTo>
                  <a:pt x="12192" y="18288"/>
                </a:lnTo>
                <a:lnTo>
                  <a:pt x="59537" y="90017"/>
                </a:lnTo>
                <a:lnTo>
                  <a:pt x="71729" y="90017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0668"/>
                </a:lnTo>
                <a:lnTo>
                  <a:pt x="154114" y="8636"/>
                </a:lnTo>
                <a:lnTo>
                  <a:pt x="154114" y="35052"/>
                </a:lnTo>
                <a:lnTo>
                  <a:pt x="154114" y="56489"/>
                </a:lnTo>
                <a:lnTo>
                  <a:pt x="152590" y="62585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46494" y="16764"/>
                </a:lnTo>
                <a:lnTo>
                  <a:pt x="149542" y="22860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8636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0017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3921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269</xdr:row>
      <xdr:rowOff>-2</xdr:rowOff>
    </xdr:from>
    <xdr:ext cx="381000" cy="274320"/>
    <xdr:grpSp>
      <xdr:nvGrpSpPr>
        <xdr:cNvPr id="232" name="Group 232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GrpSpPr/>
      </xdr:nvGrpSpPr>
      <xdr:grpSpPr>
        <a:xfrm>
          <a:off x="5010150" y="94421323"/>
          <a:ext cx="381000" cy="274320"/>
          <a:chOff x="0" y="0"/>
          <a:chExt cx="381000" cy="274320"/>
        </a:xfrm>
      </xdr:grpSpPr>
      <xdr:sp macro="" textlink="">
        <xdr:nvSpPr>
          <xdr:cNvPr id="233" name="Shape 233">
            <a:extLst>
              <a:ext uri="{FF2B5EF4-FFF2-40B4-BE49-F238E27FC236}">
                <a16:creationId xmlns:a16="http://schemas.microsoft.com/office/drawing/2014/main" id="{00000000-0008-0000-0100-0000E9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34" name="Shape 234">
            <a:extLst>
              <a:ext uri="{FF2B5EF4-FFF2-40B4-BE49-F238E27FC236}">
                <a16:creationId xmlns:a16="http://schemas.microsoft.com/office/drawing/2014/main" id="{00000000-0008-0000-0100-0000EA000000}"/>
              </a:ext>
            </a:extLst>
          </xdr:cNvPr>
          <xdr:cNvSpPr/>
        </xdr:nvSpPr>
        <xdr:spPr>
          <a:xfrm>
            <a:off x="72669" y="80682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29044"/>
                </a:lnTo>
                <a:lnTo>
                  <a:pt x="163360" y="22948"/>
                </a:lnTo>
                <a:lnTo>
                  <a:pt x="161836" y="16852"/>
                </a:lnTo>
                <a:lnTo>
                  <a:pt x="157162" y="12280"/>
                </a:lnTo>
                <a:lnTo>
                  <a:pt x="155638" y="10756"/>
                </a:lnTo>
                <a:lnTo>
                  <a:pt x="154114" y="9232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2590" y="62572"/>
                </a:lnTo>
                <a:lnTo>
                  <a:pt x="151066" y="67246"/>
                </a:lnTo>
                <a:lnTo>
                  <a:pt x="148018" y="70294"/>
                </a:lnTo>
                <a:lnTo>
                  <a:pt x="146494" y="73342"/>
                </a:lnTo>
                <a:lnTo>
                  <a:pt x="143446" y="76390"/>
                </a:lnTo>
                <a:lnTo>
                  <a:pt x="140398" y="77914"/>
                </a:lnTo>
                <a:lnTo>
                  <a:pt x="137350" y="77914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56"/>
                </a:lnTo>
                <a:lnTo>
                  <a:pt x="135826" y="10756"/>
                </a:lnTo>
                <a:lnTo>
                  <a:pt x="138874" y="12280"/>
                </a:lnTo>
                <a:lnTo>
                  <a:pt x="143446" y="13804"/>
                </a:lnTo>
                <a:lnTo>
                  <a:pt x="152590" y="27520"/>
                </a:lnTo>
                <a:lnTo>
                  <a:pt x="154114" y="35140"/>
                </a:lnTo>
                <a:lnTo>
                  <a:pt x="154114" y="9232"/>
                </a:lnTo>
                <a:lnTo>
                  <a:pt x="149542" y="4660"/>
                </a:lnTo>
                <a:lnTo>
                  <a:pt x="144970" y="1612"/>
                </a:lnTo>
                <a:lnTo>
                  <a:pt x="138874" y="1612"/>
                </a:lnTo>
                <a:lnTo>
                  <a:pt x="135826" y="88"/>
                </a:lnTo>
                <a:lnTo>
                  <a:pt x="91541" y="88"/>
                </a:lnTo>
                <a:lnTo>
                  <a:pt x="91541" y="91630"/>
                </a:lnTo>
                <a:lnTo>
                  <a:pt x="129730" y="91630"/>
                </a:lnTo>
                <a:lnTo>
                  <a:pt x="135826" y="90106"/>
                </a:lnTo>
                <a:lnTo>
                  <a:pt x="138874" y="88582"/>
                </a:lnTo>
                <a:lnTo>
                  <a:pt x="143446" y="88582"/>
                </a:lnTo>
                <a:lnTo>
                  <a:pt x="148018" y="87058"/>
                </a:lnTo>
                <a:lnTo>
                  <a:pt x="151066" y="85534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2572"/>
                </a:lnTo>
                <a:lnTo>
                  <a:pt x="166408" y="58000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271</xdr:row>
      <xdr:rowOff>-1</xdr:rowOff>
    </xdr:from>
    <xdr:ext cx="381000" cy="274320"/>
    <xdr:grpSp>
      <xdr:nvGrpSpPr>
        <xdr:cNvPr id="235" name="Group 235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GrpSpPr/>
      </xdr:nvGrpSpPr>
      <xdr:grpSpPr>
        <a:xfrm>
          <a:off x="5010150" y="95107124"/>
          <a:ext cx="381000" cy="274320"/>
          <a:chOff x="0" y="0"/>
          <a:chExt cx="381000" cy="274320"/>
        </a:xfrm>
      </xdr:grpSpPr>
      <xdr:sp macro="" textlink="">
        <xdr:nvSpPr>
          <xdr:cNvPr id="236" name="Shape 236">
            <a:extLst>
              <a:ext uri="{FF2B5EF4-FFF2-40B4-BE49-F238E27FC236}">
                <a16:creationId xmlns:a16="http://schemas.microsoft.com/office/drawing/2014/main" id="{00000000-0008-0000-0100-0000EC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37" name="Shape 237">
            <a:extLst>
              <a:ext uri="{FF2B5EF4-FFF2-40B4-BE49-F238E27FC236}">
                <a16:creationId xmlns:a16="http://schemas.microsoft.com/office/drawing/2014/main" id="{00000000-0008-0000-0100-0000ED000000}"/>
              </a:ext>
            </a:extLst>
          </xdr:cNvPr>
          <xdr:cNvSpPr/>
        </xdr:nvSpPr>
        <xdr:spPr>
          <a:xfrm>
            <a:off x="72669" y="80009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13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766"/>
                </a:moveTo>
                <a:lnTo>
                  <a:pt x="166408" y="29057"/>
                </a:lnTo>
                <a:lnTo>
                  <a:pt x="163360" y="22961"/>
                </a:lnTo>
                <a:lnTo>
                  <a:pt x="161836" y="16865"/>
                </a:lnTo>
                <a:lnTo>
                  <a:pt x="157162" y="12293"/>
                </a:lnTo>
                <a:lnTo>
                  <a:pt x="155638" y="10769"/>
                </a:lnTo>
                <a:lnTo>
                  <a:pt x="154114" y="9245"/>
                </a:lnTo>
                <a:lnTo>
                  <a:pt x="154114" y="35242"/>
                </a:lnTo>
                <a:lnTo>
                  <a:pt x="154114" y="58102"/>
                </a:lnTo>
                <a:lnTo>
                  <a:pt x="151066" y="67246"/>
                </a:lnTo>
                <a:lnTo>
                  <a:pt x="148018" y="71818"/>
                </a:lnTo>
                <a:lnTo>
                  <a:pt x="143446" y="76390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69"/>
                </a:lnTo>
                <a:lnTo>
                  <a:pt x="135826" y="10769"/>
                </a:lnTo>
                <a:lnTo>
                  <a:pt x="138874" y="12293"/>
                </a:lnTo>
                <a:lnTo>
                  <a:pt x="143446" y="13817"/>
                </a:lnTo>
                <a:lnTo>
                  <a:pt x="152590" y="27533"/>
                </a:lnTo>
                <a:lnTo>
                  <a:pt x="154114" y="35242"/>
                </a:lnTo>
                <a:lnTo>
                  <a:pt x="154114" y="9245"/>
                </a:lnTo>
                <a:lnTo>
                  <a:pt x="149542" y="4673"/>
                </a:lnTo>
                <a:lnTo>
                  <a:pt x="144970" y="3149"/>
                </a:lnTo>
                <a:lnTo>
                  <a:pt x="138874" y="1625"/>
                </a:lnTo>
                <a:lnTo>
                  <a:pt x="135826" y="101"/>
                </a:lnTo>
                <a:lnTo>
                  <a:pt x="91541" y="101"/>
                </a:lnTo>
                <a:lnTo>
                  <a:pt x="91541" y="91630"/>
                </a:lnTo>
                <a:lnTo>
                  <a:pt x="129730" y="91630"/>
                </a:lnTo>
                <a:lnTo>
                  <a:pt x="135826" y="90106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1066" y="85534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4884" y="64198"/>
                </a:lnTo>
                <a:lnTo>
                  <a:pt x="167932" y="52006"/>
                </a:lnTo>
                <a:lnTo>
                  <a:pt x="167932" y="3676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273</xdr:row>
      <xdr:rowOff>1</xdr:rowOff>
    </xdr:from>
    <xdr:ext cx="381000" cy="274320"/>
    <xdr:grpSp>
      <xdr:nvGrpSpPr>
        <xdr:cNvPr id="238" name="Group 238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GrpSpPr/>
      </xdr:nvGrpSpPr>
      <xdr:grpSpPr>
        <a:xfrm>
          <a:off x="5010150" y="95783401"/>
          <a:ext cx="381000" cy="274320"/>
          <a:chOff x="0" y="0"/>
          <a:chExt cx="381000" cy="274320"/>
        </a:xfrm>
      </xdr:grpSpPr>
      <xdr:sp macro="" textlink="">
        <xdr:nvSpPr>
          <xdr:cNvPr id="239" name="Shape 239">
            <a:extLst>
              <a:ext uri="{FF2B5EF4-FFF2-40B4-BE49-F238E27FC236}">
                <a16:creationId xmlns:a16="http://schemas.microsoft.com/office/drawing/2014/main" id="{00000000-0008-0000-0100-0000EF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40" name="Shape 240">
            <a:extLst>
              <a:ext uri="{FF2B5EF4-FFF2-40B4-BE49-F238E27FC236}">
                <a16:creationId xmlns:a16="http://schemas.microsoft.com/office/drawing/2014/main" id="{00000000-0008-0000-0100-0000F0000000}"/>
              </a:ext>
            </a:extLst>
          </xdr:cNvPr>
          <xdr:cNvSpPr/>
        </xdr:nvSpPr>
        <xdr:spPr>
          <a:xfrm>
            <a:off x="72669" y="80962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13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77"/>
                </a:moveTo>
                <a:lnTo>
                  <a:pt x="166408" y="30581"/>
                </a:lnTo>
                <a:lnTo>
                  <a:pt x="163360" y="24485"/>
                </a:lnTo>
                <a:lnTo>
                  <a:pt x="161836" y="16865"/>
                </a:lnTo>
                <a:lnTo>
                  <a:pt x="157162" y="12293"/>
                </a:lnTo>
                <a:lnTo>
                  <a:pt x="155638" y="10769"/>
                </a:lnTo>
                <a:lnTo>
                  <a:pt x="154114" y="9245"/>
                </a:lnTo>
                <a:lnTo>
                  <a:pt x="154114" y="35153"/>
                </a:lnTo>
                <a:lnTo>
                  <a:pt x="154114" y="58013"/>
                </a:lnTo>
                <a:lnTo>
                  <a:pt x="151066" y="67157"/>
                </a:lnTo>
                <a:lnTo>
                  <a:pt x="148018" y="71818"/>
                </a:lnTo>
                <a:lnTo>
                  <a:pt x="146494" y="74866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69"/>
                </a:lnTo>
                <a:lnTo>
                  <a:pt x="129730" y="10769"/>
                </a:lnTo>
                <a:lnTo>
                  <a:pt x="135826" y="12293"/>
                </a:lnTo>
                <a:lnTo>
                  <a:pt x="138874" y="12293"/>
                </a:lnTo>
                <a:lnTo>
                  <a:pt x="154114" y="35153"/>
                </a:lnTo>
                <a:lnTo>
                  <a:pt x="154114" y="9245"/>
                </a:lnTo>
                <a:lnTo>
                  <a:pt x="149542" y="4673"/>
                </a:lnTo>
                <a:lnTo>
                  <a:pt x="144970" y="3149"/>
                </a:lnTo>
                <a:lnTo>
                  <a:pt x="138874" y="1625"/>
                </a:lnTo>
                <a:lnTo>
                  <a:pt x="135826" y="101"/>
                </a:lnTo>
                <a:lnTo>
                  <a:pt x="91541" y="101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4114" y="84010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4109"/>
                </a:lnTo>
                <a:lnTo>
                  <a:pt x="167932" y="51917"/>
                </a:lnTo>
                <a:lnTo>
                  <a:pt x="167932" y="36677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0</xdr:col>
      <xdr:colOff>179831</xdr:colOff>
      <xdr:row>291</xdr:row>
      <xdr:rowOff>-2</xdr:rowOff>
    </xdr:from>
    <xdr:ext cx="7426959" cy="548640"/>
    <xdr:grpSp>
      <xdr:nvGrpSpPr>
        <xdr:cNvPr id="241" name="Group 241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GrpSpPr/>
      </xdr:nvGrpSpPr>
      <xdr:grpSpPr>
        <a:xfrm>
          <a:off x="179831" y="101631748"/>
          <a:ext cx="7426959" cy="548640"/>
          <a:chOff x="0" y="0"/>
          <a:chExt cx="7426959" cy="548640"/>
        </a:xfrm>
      </xdr:grpSpPr>
      <xdr:sp macro="" textlink="">
        <xdr:nvSpPr>
          <xdr:cNvPr id="242" name="Shape 242">
            <a:extLst>
              <a:ext uri="{FF2B5EF4-FFF2-40B4-BE49-F238E27FC236}">
                <a16:creationId xmlns:a16="http://schemas.microsoft.com/office/drawing/2014/main" id="{00000000-0008-0000-0100-0000F200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243" name="image4.png">
            <a:extLst>
              <a:ext uri="{FF2B5EF4-FFF2-40B4-BE49-F238E27FC236}">
                <a16:creationId xmlns:a16="http://schemas.microsoft.com/office/drawing/2014/main" id="{00000000-0008-0000-0100-0000F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244" name="Shape 244">
            <a:extLst>
              <a:ext uri="{FF2B5EF4-FFF2-40B4-BE49-F238E27FC236}">
                <a16:creationId xmlns:a16="http://schemas.microsoft.com/office/drawing/2014/main" id="{00000000-0008-0000-0100-0000F400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245" name="Shape 245">
            <a:extLst>
              <a:ext uri="{FF2B5EF4-FFF2-40B4-BE49-F238E27FC236}">
                <a16:creationId xmlns:a16="http://schemas.microsoft.com/office/drawing/2014/main" id="{00000000-0008-0000-0100-0000F5000000}"/>
              </a:ext>
            </a:extLst>
          </xdr:cNvPr>
          <xdr:cNvSpPr/>
        </xdr:nvSpPr>
        <xdr:spPr>
          <a:xfrm>
            <a:off x="0" y="274319"/>
            <a:ext cx="4799330" cy="274320"/>
          </a:xfrm>
          <a:custGeom>
            <a:avLst/>
            <a:gdLst/>
            <a:ahLst/>
            <a:cxnLst/>
            <a:rect l="0" t="0" r="0" b="0"/>
            <a:pathLst>
              <a:path w="4799330" h="27432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274320"/>
                </a:lnTo>
                <a:lnTo>
                  <a:pt x="4799076" y="27432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3</xdr:col>
      <xdr:colOff>0</xdr:colOff>
      <xdr:row>276</xdr:row>
      <xdr:rowOff>0</xdr:rowOff>
    </xdr:from>
    <xdr:ext cx="381000" cy="274320"/>
    <xdr:grpSp>
      <xdr:nvGrpSpPr>
        <xdr:cNvPr id="246" name="Group 246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GrpSpPr/>
      </xdr:nvGrpSpPr>
      <xdr:grpSpPr>
        <a:xfrm>
          <a:off x="5010150" y="96935925"/>
          <a:ext cx="381000" cy="274320"/>
          <a:chOff x="0" y="0"/>
          <a:chExt cx="381000" cy="274320"/>
        </a:xfrm>
      </xdr:grpSpPr>
      <xdr:sp macro="" textlink="">
        <xdr:nvSpPr>
          <xdr:cNvPr id="247" name="Shape 247">
            <a:extLst>
              <a:ext uri="{FF2B5EF4-FFF2-40B4-BE49-F238E27FC236}">
                <a16:creationId xmlns:a16="http://schemas.microsoft.com/office/drawing/2014/main" id="{00000000-0008-0000-0100-0000F7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48" name="Shape 248">
            <a:extLst>
              <a:ext uri="{FF2B5EF4-FFF2-40B4-BE49-F238E27FC236}">
                <a16:creationId xmlns:a16="http://schemas.microsoft.com/office/drawing/2014/main" id="{00000000-0008-0000-0100-0000F8000000}"/>
              </a:ext>
            </a:extLst>
          </xdr:cNvPr>
          <xdr:cNvSpPr/>
        </xdr:nvSpPr>
        <xdr:spPr>
          <a:xfrm>
            <a:off x="72669" y="80200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1435"/>
                </a:moveTo>
                <a:lnTo>
                  <a:pt x="59537" y="1435"/>
                </a:lnTo>
                <a:lnTo>
                  <a:pt x="59537" y="73152"/>
                </a:lnTo>
                <a:lnTo>
                  <a:pt x="12192" y="1435"/>
                </a:lnTo>
                <a:lnTo>
                  <a:pt x="0" y="1435"/>
                </a:lnTo>
                <a:lnTo>
                  <a:pt x="0" y="91541"/>
                </a:lnTo>
                <a:lnTo>
                  <a:pt x="12192" y="91541"/>
                </a:lnTo>
                <a:lnTo>
                  <a:pt x="12192" y="19812"/>
                </a:lnTo>
                <a:lnTo>
                  <a:pt x="59537" y="91541"/>
                </a:lnTo>
                <a:lnTo>
                  <a:pt x="71729" y="91541"/>
                </a:lnTo>
                <a:lnTo>
                  <a:pt x="71729" y="1435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30480"/>
                </a:lnTo>
                <a:lnTo>
                  <a:pt x="163360" y="24384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8013"/>
                </a:lnTo>
                <a:lnTo>
                  <a:pt x="151066" y="67157"/>
                </a:lnTo>
                <a:lnTo>
                  <a:pt x="148018" y="71729"/>
                </a:lnTo>
                <a:lnTo>
                  <a:pt x="146494" y="74777"/>
                </a:lnTo>
                <a:lnTo>
                  <a:pt x="137350" y="79349"/>
                </a:lnTo>
                <a:lnTo>
                  <a:pt x="134302" y="79349"/>
                </a:lnTo>
                <a:lnTo>
                  <a:pt x="129730" y="80873"/>
                </a:lnTo>
                <a:lnTo>
                  <a:pt x="103822" y="80873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219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41"/>
                </a:lnTo>
                <a:lnTo>
                  <a:pt x="135826" y="91541"/>
                </a:lnTo>
                <a:lnTo>
                  <a:pt x="138874" y="90017"/>
                </a:lnTo>
                <a:lnTo>
                  <a:pt x="148018" y="86969"/>
                </a:lnTo>
                <a:lnTo>
                  <a:pt x="154114" y="83921"/>
                </a:lnTo>
                <a:lnTo>
                  <a:pt x="155638" y="80873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4884" y="64109"/>
                </a:lnTo>
                <a:lnTo>
                  <a:pt x="167932" y="51917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279</xdr:row>
      <xdr:rowOff>-1</xdr:rowOff>
    </xdr:from>
    <xdr:ext cx="381000" cy="274320"/>
    <xdr:grpSp>
      <xdr:nvGrpSpPr>
        <xdr:cNvPr id="249" name="Group 249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GrpSpPr/>
      </xdr:nvGrpSpPr>
      <xdr:grpSpPr>
        <a:xfrm>
          <a:off x="5010150" y="97612199"/>
          <a:ext cx="381000" cy="274320"/>
          <a:chOff x="0" y="0"/>
          <a:chExt cx="381000" cy="274320"/>
        </a:xfrm>
      </xdr:grpSpPr>
      <xdr:sp macro="" textlink="">
        <xdr:nvSpPr>
          <xdr:cNvPr id="250" name="Shape 250">
            <a:extLst>
              <a:ext uri="{FF2B5EF4-FFF2-40B4-BE49-F238E27FC236}">
                <a16:creationId xmlns:a16="http://schemas.microsoft.com/office/drawing/2014/main" id="{00000000-0008-0000-0100-0000FA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19"/>
                </a:moveTo>
                <a:lnTo>
                  <a:pt x="0" y="274319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19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51" name="Shape 251">
            <a:extLst>
              <a:ext uri="{FF2B5EF4-FFF2-40B4-BE49-F238E27FC236}">
                <a16:creationId xmlns:a16="http://schemas.microsoft.com/office/drawing/2014/main" id="{00000000-0008-0000-0100-0000FB000000}"/>
              </a:ext>
            </a:extLst>
          </xdr:cNvPr>
          <xdr:cNvSpPr/>
        </xdr:nvSpPr>
        <xdr:spPr>
          <a:xfrm>
            <a:off x="72669" y="81063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8188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8376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6664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4302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3716"/>
                </a:lnTo>
                <a:lnTo>
                  <a:pt x="143446" y="15328"/>
                </a:lnTo>
                <a:lnTo>
                  <a:pt x="146494" y="18376"/>
                </a:lnTo>
                <a:lnTo>
                  <a:pt x="149542" y="22948"/>
                </a:lnTo>
                <a:lnTo>
                  <a:pt x="152590" y="29044"/>
                </a:lnTo>
                <a:lnTo>
                  <a:pt x="154114" y="36664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1524"/>
                </a:lnTo>
                <a:lnTo>
                  <a:pt x="131254" y="0"/>
                </a:lnTo>
                <a:lnTo>
                  <a:pt x="91541" y="0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3446" y="88582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7812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8188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281</xdr:row>
      <xdr:rowOff>2</xdr:rowOff>
    </xdr:from>
    <xdr:ext cx="381000" cy="274320"/>
    <xdr:grpSp>
      <xdr:nvGrpSpPr>
        <xdr:cNvPr id="252" name="Group 252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GrpSpPr/>
      </xdr:nvGrpSpPr>
      <xdr:grpSpPr>
        <a:xfrm>
          <a:off x="5010150" y="98298002"/>
          <a:ext cx="381000" cy="274320"/>
          <a:chOff x="0" y="0"/>
          <a:chExt cx="381000" cy="274320"/>
        </a:xfrm>
      </xdr:grpSpPr>
      <xdr:sp macro="" textlink="">
        <xdr:nvSpPr>
          <xdr:cNvPr id="253" name="Shape 253">
            <a:extLst>
              <a:ext uri="{FF2B5EF4-FFF2-40B4-BE49-F238E27FC236}">
                <a16:creationId xmlns:a16="http://schemas.microsoft.com/office/drawing/2014/main" id="{00000000-0008-0000-0100-0000FD00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54" name="Shape 254">
            <a:extLst>
              <a:ext uri="{FF2B5EF4-FFF2-40B4-BE49-F238E27FC236}">
                <a16:creationId xmlns:a16="http://schemas.microsoft.com/office/drawing/2014/main" id="{00000000-0008-0000-0100-0000FE000000}"/>
              </a:ext>
            </a:extLst>
          </xdr:cNvPr>
          <xdr:cNvSpPr/>
        </xdr:nvSpPr>
        <xdr:spPr>
          <a:xfrm>
            <a:off x="72669" y="82016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0205"/>
                </a:lnTo>
                <a:lnTo>
                  <a:pt x="12192" y="0"/>
                </a:lnTo>
                <a:lnTo>
                  <a:pt x="0" y="0"/>
                </a:lnTo>
                <a:lnTo>
                  <a:pt x="0" y="90017"/>
                </a:lnTo>
                <a:lnTo>
                  <a:pt x="12192" y="90017"/>
                </a:lnTo>
                <a:lnTo>
                  <a:pt x="12192" y="18288"/>
                </a:lnTo>
                <a:lnTo>
                  <a:pt x="59537" y="90017"/>
                </a:lnTo>
                <a:lnTo>
                  <a:pt x="71729" y="90017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664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0668"/>
                </a:lnTo>
                <a:lnTo>
                  <a:pt x="154114" y="8636"/>
                </a:lnTo>
                <a:lnTo>
                  <a:pt x="154114" y="35140"/>
                </a:lnTo>
                <a:lnTo>
                  <a:pt x="154114" y="56476"/>
                </a:lnTo>
                <a:lnTo>
                  <a:pt x="152590" y="61048"/>
                </a:lnTo>
                <a:lnTo>
                  <a:pt x="151066" y="67144"/>
                </a:lnTo>
                <a:lnTo>
                  <a:pt x="148018" y="70192"/>
                </a:lnTo>
                <a:lnTo>
                  <a:pt x="146494" y="73240"/>
                </a:lnTo>
                <a:lnTo>
                  <a:pt x="134302" y="79336"/>
                </a:lnTo>
                <a:lnTo>
                  <a:pt x="103822" y="79336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46494" y="16764"/>
                </a:lnTo>
                <a:lnTo>
                  <a:pt x="149542" y="22860"/>
                </a:lnTo>
                <a:lnTo>
                  <a:pt x="152590" y="27432"/>
                </a:lnTo>
                <a:lnTo>
                  <a:pt x="154114" y="35140"/>
                </a:lnTo>
                <a:lnTo>
                  <a:pt x="154114" y="8636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0"/>
                </a:lnTo>
                <a:lnTo>
                  <a:pt x="91541" y="0"/>
                </a:lnTo>
                <a:lnTo>
                  <a:pt x="91541" y="90017"/>
                </a:lnTo>
                <a:lnTo>
                  <a:pt x="135826" y="90017"/>
                </a:lnTo>
                <a:lnTo>
                  <a:pt x="138874" y="88480"/>
                </a:lnTo>
                <a:lnTo>
                  <a:pt x="148018" y="85432"/>
                </a:lnTo>
                <a:lnTo>
                  <a:pt x="154114" y="82384"/>
                </a:lnTo>
                <a:lnTo>
                  <a:pt x="155638" y="79336"/>
                </a:lnTo>
                <a:lnTo>
                  <a:pt x="158788" y="76288"/>
                </a:lnTo>
                <a:lnTo>
                  <a:pt x="161836" y="71716"/>
                </a:lnTo>
                <a:lnTo>
                  <a:pt x="163360" y="68668"/>
                </a:lnTo>
                <a:lnTo>
                  <a:pt x="164884" y="62572"/>
                </a:lnTo>
                <a:lnTo>
                  <a:pt x="166408" y="58000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283</xdr:row>
      <xdr:rowOff>-1</xdr:rowOff>
    </xdr:from>
    <xdr:ext cx="381000" cy="276225"/>
    <xdr:grpSp>
      <xdr:nvGrpSpPr>
        <xdr:cNvPr id="255" name="Group 255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GrpSpPr/>
      </xdr:nvGrpSpPr>
      <xdr:grpSpPr>
        <a:xfrm>
          <a:off x="5010150" y="98974274"/>
          <a:ext cx="381000" cy="276225"/>
          <a:chOff x="0" y="0"/>
          <a:chExt cx="381000" cy="276225"/>
        </a:xfrm>
      </xdr:grpSpPr>
      <xdr:sp macro="" textlink="">
        <xdr:nvSpPr>
          <xdr:cNvPr id="256" name="Shape 256">
            <a:extLst>
              <a:ext uri="{FF2B5EF4-FFF2-40B4-BE49-F238E27FC236}">
                <a16:creationId xmlns:a16="http://schemas.microsoft.com/office/drawing/2014/main" id="{00000000-0008-0000-0100-000000010000}"/>
              </a:ext>
            </a:extLst>
          </xdr:cNvPr>
          <xdr:cNvSpPr/>
        </xdr:nvSpPr>
        <xdr:spPr>
          <a:xfrm>
            <a:off x="0" y="0"/>
            <a:ext cx="381000" cy="276225"/>
          </a:xfrm>
          <a:custGeom>
            <a:avLst/>
            <a:gdLst/>
            <a:ahLst/>
            <a:cxnLst/>
            <a:rect l="0" t="0" r="0" b="0"/>
            <a:pathLst>
              <a:path w="381000" h="276225">
                <a:moveTo>
                  <a:pt x="381000" y="275844"/>
                </a:moveTo>
                <a:lnTo>
                  <a:pt x="0" y="275844"/>
                </a:lnTo>
                <a:lnTo>
                  <a:pt x="0" y="0"/>
                </a:lnTo>
                <a:lnTo>
                  <a:pt x="381000" y="0"/>
                </a:lnTo>
                <a:lnTo>
                  <a:pt x="381000" y="275844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57" name="Shape 257">
            <a:extLst>
              <a:ext uri="{FF2B5EF4-FFF2-40B4-BE49-F238E27FC236}">
                <a16:creationId xmlns:a16="http://schemas.microsoft.com/office/drawing/2014/main" id="{00000000-0008-0000-0100-000001010000}"/>
              </a:ext>
            </a:extLst>
          </xdr:cNvPr>
          <xdr:cNvSpPr/>
        </xdr:nvSpPr>
        <xdr:spPr>
          <a:xfrm>
            <a:off x="72669" y="82867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0017"/>
                </a:lnTo>
                <a:lnTo>
                  <a:pt x="12192" y="90017"/>
                </a:lnTo>
                <a:lnTo>
                  <a:pt x="12192" y="18288"/>
                </a:lnTo>
                <a:lnTo>
                  <a:pt x="59537" y="90017"/>
                </a:lnTo>
                <a:lnTo>
                  <a:pt x="71729" y="90017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0668"/>
                </a:lnTo>
                <a:lnTo>
                  <a:pt x="154114" y="8636"/>
                </a:lnTo>
                <a:lnTo>
                  <a:pt x="154114" y="35052"/>
                </a:lnTo>
                <a:lnTo>
                  <a:pt x="154114" y="56489"/>
                </a:lnTo>
                <a:lnTo>
                  <a:pt x="152590" y="62585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46494" y="16764"/>
                </a:lnTo>
                <a:lnTo>
                  <a:pt x="149542" y="22860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8636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0017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3921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285</xdr:row>
      <xdr:rowOff>1</xdr:rowOff>
    </xdr:from>
    <xdr:ext cx="381000" cy="274320"/>
    <xdr:grpSp>
      <xdr:nvGrpSpPr>
        <xdr:cNvPr id="258" name="Group 258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GrpSpPr/>
      </xdr:nvGrpSpPr>
      <xdr:grpSpPr>
        <a:xfrm>
          <a:off x="5010150" y="99669601"/>
          <a:ext cx="381000" cy="274320"/>
          <a:chOff x="0" y="0"/>
          <a:chExt cx="381000" cy="274320"/>
        </a:xfrm>
      </xdr:grpSpPr>
      <xdr:sp macro="" textlink="">
        <xdr:nvSpPr>
          <xdr:cNvPr id="259" name="Shape 259">
            <a:extLst>
              <a:ext uri="{FF2B5EF4-FFF2-40B4-BE49-F238E27FC236}">
                <a16:creationId xmlns:a16="http://schemas.microsoft.com/office/drawing/2014/main" id="{00000000-0008-0000-0100-000003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60" name="Shape 260">
            <a:extLst>
              <a:ext uri="{FF2B5EF4-FFF2-40B4-BE49-F238E27FC236}">
                <a16:creationId xmlns:a16="http://schemas.microsoft.com/office/drawing/2014/main" id="{00000000-0008-0000-0100-000004010000}"/>
              </a:ext>
            </a:extLst>
          </xdr:cNvPr>
          <xdr:cNvSpPr/>
        </xdr:nvSpPr>
        <xdr:spPr>
          <a:xfrm>
            <a:off x="72669" y="8077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1435"/>
                </a:moveTo>
                <a:lnTo>
                  <a:pt x="59537" y="1435"/>
                </a:lnTo>
                <a:lnTo>
                  <a:pt x="59537" y="73152"/>
                </a:lnTo>
                <a:lnTo>
                  <a:pt x="12192" y="1435"/>
                </a:lnTo>
                <a:lnTo>
                  <a:pt x="0" y="1435"/>
                </a:lnTo>
                <a:lnTo>
                  <a:pt x="0" y="91541"/>
                </a:lnTo>
                <a:lnTo>
                  <a:pt x="12192" y="91541"/>
                </a:lnTo>
                <a:lnTo>
                  <a:pt x="12192" y="19812"/>
                </a:lnTo>
                <a:lnTo>
                  <a:pt x="59537" y="91541"/>
                </a:lnTo>
                <a:lnTo>
                  <a:pt x="71729" y="91541"/>
                </a:lnTo>
                <a:lnTo>
                  <a:pt x="71729" y="1435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7912"/>
                </a:lnTo>
                <a:lnTo>
                  <a:pt x="152590" y="62484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43446" y="76301"/>
                </a:lnTo>
                <a:lnTo>
                  <a:pt x="140398" y="77825"/>
                </a:lnTo>
                <a:lnTo>
                  <a:pt x="137350" y="77825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41"/>
                </a:lnTo>
                <a:lnTo>
                  <a:pt x="129730" y="91541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5445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484"/>
                </a:lnTo>
                <a:lnTo>
                  <a:pt x="166408" y="57912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287</xdr:row>
      <xdr:rowOff>2</xdr:rowOff>
    </xdr:from>
    <xdr:ext cx="381000" cy="274320"/>
    <xdr:grpSp>
      <xdr:nvGrpSpPr>
        <xdr:cNvPr id="261" name="Group 261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GrpSpPr/>
      </xdr:nvGrpSpPr>
      <xdr:grpSpPr>
        <a:xfrm>
          <a:off x="5010150" y="100355402"/>
          <a:ext cx="381000" cy="274320"/>
          <a:chOff x="0" y="0"/>
          <a:chExt cx="381000" cy="274320"/>
        </a:xfrm>
      </xdr:grpSpPr>
      <xdr:sp macro="" textlink="">
        <xdr:nvSpPr>
          <xdr:cNvPr id="262" name="Shape 262">
            <a:extLst>
              <a:ext uri="{FF2B5EF4-FFF2-40B4-BE49-F238E27FC236}">
                <a16:creationId xmlns:a16="http://schemas.microsoft.com/office/drawing/2014/main" id="{00000000-0008-0000-0100-000006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63" name="Shape 263">
            <a:extLst>
              <a:ext uri="{FF2B5EF4-FFF2-40B4-BE49-F238E27FC236}">
                <a16:creationId xmlns:a16="http://schemas.microsoft.com/office/drawing/2014/main" id="{00000000-0008-0000-0100-000007010000}"/>
              </a:ext>
            </a:extLst>
          </xdr:cNvPr>
          <xdr:cNvSpPr/>
        </xdr:nvSpPr>
        <xdr:spPr>
          <a:xfrm>
            <a:off x="72669" y="8011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1422"/>
                </a:moveTo>
                <a:lnTo>
                  <a:pt x="59537" y="1422"/>
                </a:lnTo>
                <a:lnTo>
                  <a:pt x="59537" y="73152"/>
                </a:lnTo>
                <a:lnTo>
                  <a:pt x="12192" y="1422"/>
                </a:lnTo>
                <a:lnTo>
                  <a:pt x="0" y="1422"/>
                </a:lnTo>
                <a:lnTo>
                  <a:pt x="0" y="91528"/>
                </a:lnTo>
                <a:lnTo>
                  <a:pt x="12192" y="91528"/>
                </a:lnTo>
                <a:lnTo>
                  <a:pt x="12192" y="19812"/>
                </a:lnTo>
                <a:lnTo>
                  <a:pt x="59537" y="91528"/>
                </a:lnTo>
                <a:lnTo>
                  <a:pt x="71729" y="91528"/>
                </a:lnTo>
                <a:lnTo>
                  <a:pt x="71729" y="1422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3446" y="76288"/>
                </a:lnTo>
                <a:lnTo>
                  <a:pt x="137350" y="79336"/>
                </a:lnTo>
                <a:lnTo>
                  <a:pt x="134302" y="79336"/>
                </a:lnTo>
                <a:lnTo>
                  <a:pt x="129730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52590" y="27432"/>
                </a:lnTo>
                <a:lnTo>
                  <a:pt x="154114" y="35140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28"/>
                </a:lnTo>
                <a:lnTo>
                  <a:pt x="129730" y="91528"/>
                </a:lnTo>
                <a:lnTo>
                  <a:pt x="135826" y="90004"/>
                </a:lnTo>
                <a:lnTo>
                  <a:pt x="138874" y="90004"/>
                </a:lnTo>
                <a:lnTo>
                  <a:pt x="148018" y="86956"/>
                </a:lnTo>
                <a:lnTo>
                  <a:pt x="151066" y="85432"/>
                </a:lnTo>
                <a:lnTo>
                  <a:pt x="155638" y="80860"/>
                </a:lnTo>
                <a:lnTo>
                  <a:pt x="158788" y="76288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289</xdr:row>
      <xdr:rowOff>-1</xdr:rowOff>
    </xdr:from>
    <xdr:ext cx="381000" cy="274320"/>
    <xdr:grpSp>
      <xdr:nvGrpSpPr>
        <xdr:cNvPr id="264" name="Group 264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GrpSpPr/>
      </xdr:nvGrpSpPr>
      <xdr:grpSpPr>
        <a:xfrm>
          <a:off x="5010150" y="101031674"/>
          <a:ext cx="381000" cy="274320"/>
          <a:chOff x="0" y="0"/>
          <a:chExt cx="381000" cy="274320"/>
        </a:xfrm>
      </xdr:grpSpPr>
      <xdr:sp macro="" textlink="">
        <xdr:nvSpPr>
          <xdr:cNvPr id="265" name="Shape 265">
            <a:extLst>
              <a:ext uri="{FF2B5EF4-FFF2-40B4-BE49-F238E27FC236}">
                <a16:creationId xmlns:a16="http://schemas.microsoft.com/office/drawing/2014/main" id="{00000000-0008-0000-0100-000009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66" name="Shape 266">
            <a:extLst>
              <a:ext uri="{FF2B5EF4-FFF2-40B4-BE49-F238E27FC236}">
                <a16:creationId xmlns:a16="http://schemas.microsoft.com/office/drawing/2014/main" id="{00000000-0008-0000-0100-00000A010000}"/>
              </a:ext>
            </a:extLst>
          </xdr:cNvPr>
          <xdr:cNvSpPr/>
        </xdr:nvSpPr>
        <xdr:spPr>
          <a:xfrm>
            <a:off x="72669" y="81064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1422"/>
                </a:moveTo>
                <a:lnTo>
                  <a:pt x="59537" y="1422"/>
                </a:lnTo>
                <a:lnTo>
                  <a:pt x="59537" y="73152"/>
                </a:lnTo>
                <a:lnTo>
                  <a:pt x="12192" y="1422"/>
                </a:lnTo>
                <a:lnTo>
                  <a:pt x="0" y="1422"/>
                </a:lnTo>
                <a:lnTo>
                  <a:pt x="0" y="91528"/>
                </a:lnTo>
                <a:lnTo>
                  <a:pt x="12192" y="91528"/>
                </a:lnTo>
                <a:lnTo>
                  <a:pt x="12192" y="19812"/>
                </a:lnTo>
                <a:lnTo>
                  <a:pt x="59537" y="91528"/>
                </a:lnTo>
                <a:lnTo>
                  <a:pt x="71729" y="91528"/>
                </a:lnTo>
                <a:lnTo>
                  <a:pt x="71729" y="1422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30480"/>
                </a:lnTo>
                <a:lnTo>
                  <a:pt x="163360" y="24384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7350" y="79336"/>
                </a:lnTo>
                <a:lnTo>
                  <a:pt x="134302" y="79336"/>
                </a:lnTo>
                <a:lnTo>
                  <a:pt x="129730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219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28"/>
                </a:lnTo>
                <a:lnTo>
                  <a:pt x="135826" y="91528"/>
                </a:lnTo>
                <a:lnTo>
                  <a:pt x="138874" y="90004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6288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0</xdr:col>
      <xdr:colOff>179831</xdr:colOff>
      <xdr:row>306</xdr:row>
      <xdr:rowOff>4</xdr:rowOff>
    </xdr:from>
    <xdr:ext cx="7426959" cy="548640"/>
    <xdr:grpSp>
      <xdr:nvGrpSpPr>
        <xdr:cNvPr id="267" name="Group 267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GrpSpPr/>
      </xdr:nvGrpSpPr>
      <xdr:grpSpPr>
        <a:xfrm>
          <a:off x="179831" y="106880029"/>
          <a:ext cx="7426959" cy="548640"/>
          <a:chOff x="0" y="0"/>
          <a:chExt cx="7426959" cy="548640"/>
        </a:xfrm>
      </xdr:grpSpPr>
      <xdr:sp macro="" textlink="">
        <xdr:nvSpPr>
          <xdr:cNvPr id="268" name="Shape 268">
            <a:extLst>
              <a:ext uri="{FF2B5EF4-FFF2-40B4-BE49-F238E27FC236}">
                <a16:creationId xmlns:a16="http://schemas.microsoft.com/office/drawing/2014/main" id="{00000000-0008-0000-0100-00000C01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269" name="image4.png">
            <a:extLst>
              <a:ext uri="{FF2B5EF4-FFF2-40B4-BE49-F238E27FC236}">
                <a16:creationId xmlns:a16="http://schemas.microsoft.com/office/drawing/2014/main" id="{00000000-0008-0000-0100-00000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270" name="Shape 270">
            <a:extLst>
              <a:ext uri="{FF2B5EF4-FFF2-40B4-BE49-F238E27FC236}">
                <a16:creationId xmlns:a16="http://schemas.microsoft.com/office/drawing/2014/main" id="{00000000-0008-0000-0100-00000E01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271" name="Shape 271">
            <a:extLst>
              <a:ext uri="{FF2B5EF4-FFF2-40B4-BE49-F238E27FC236}">
                <a16:creationId xmlns:a16="http://schemas.microsoft.com/office/drawing/2014/main" id="{00000000-0008-0000-0100-00000F010000}"/>
              </a:ext>
            </a:extLst>
          </xdr:cNvPr>
          <xdr:cNvSpPr/>
        </xdr:nvSpPr>
        <xdr:spPr>
          <a:xfrm>
            <a:off x="0" y="274319"/>
            <a:ext cx="4799330" cy="274320"/>
          </a:xfrm>
          <a:custGeom>
            <a:avLst/>
            <a:gdLst/>
            <a:ahLst/>
            <a:cxnLst/>
            <a:rect l="0" t="0" r="0" b="0"/>
            <a:pathLst>
              <a:path w="4799330" h="27432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274320"/>
                </a:lnTo>
                <a:lnTo>
                  <a:pt x="4799076" y="27432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3</xdr:col>
      <xdr:colOff>0</xdr:colOff>
      <xdr:row>292</xdr:row>
      <xdr:rowOff>-2</xdr:rowOff>
    </xdr:from>
    <xdr:ext cx="381000" cy="274320"/>
    <xdr:grpSp>
      <xdr:nvGrpSpPr>
        <xdr:cNvPr id="272" name="Group 272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GrpSpPr/>
      </xdr:nvGrpSpPr>
      <xdr:grpSpPr>
        <a:xfrm>
          <a:off x="5010150" y="102184198"/>
          <a:ext cx="381000" cy="274320"/>
          <a:chOff x="0" y="0"/>
          <a:chExt cx="381000" cy="274320"/>
        </a:xfrm>
      </xdr:grpSpPr>
      <xdr:sp macro="" textlink="">
        <xdr:nvSpPr>
          <xdr:cNvPr id="273" name="Shape 273">
            <a:extLst>
              <a:ext uri="{FF2B5EF4-FFF2-40B4-BE49-F238E27FC236}">
                <a16:creationId xmlns:a16="http://schemas.microsoft.com/office/drawing/2014/main" id="{00000000-0008-0000-0100-000011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74" name="Shape 274">
            <a:extLst>
              <a:ext uri="{FF2B5EF4-FFF2-40B4-BE49-F238E27FC236}">
                <a16:creationId xmlns:a16="http://schemas.microsoft.com/office/drawing/2014/main" id="{00000000-0008-0000-0100-000012010000}"/>
              </a:ext>
            </a:extLst>
          </xdr:cNvPr>
          <xdr:cNvSpPr/>
        </xdr:nvSpPr>
        <xdr:spPr>
          <a:xfrm>
            <a:off x="72669" y="8011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6852"/>
                </a:lnTo>
                <a:lnTo>
                  <a:pt x="157162" y="12280"/>
                </a:lnTo>
                <a:lnTo>
                  <a:pt x="155638" y="10756"/>
                </a:lnTo>
                <a:lnTo>
                  <a:pt x="154114" y="9232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818"/>
                </a:lnTo>
                <a:lnTo>
                  <a:pt x="146494" y="74866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56"/>
                </a:lnTo>
                <a:lnTo>
                  <a:pt x="129730" y="10756"/>
                </a:lnTo>
                <a:lnTo>
                  <a:pt x="135826" y="12280"/>
                </a:lnTo>
                <a:lnTo>
                  <a:pt x="138874" y="12280"/>
                </a:lnTo>
                <a:lnTo>
                  <a:pt x="154114" y="35140"/>
                </a:lnTo>
                <a:lnTo>
                  <a:pt x="154114" y="9232"/>
                </a:lnTo>
                <a:lnTo>
                  <a:pt x="149542" y="4660"/>
                </a:lnTo>
                <a:lnTo>
                  <a:pt x="144970" y="3136"/>
                </a:lnTo>
                <a:lnTo>
                  <a:pt x="138874" y="1612"/>
                </a:lnTo>
                <a:lnTo>
                  <a:pt x="135826" y="88"/>
                </a:lnTo>
                <a:lnTo>
                  <a:pt x="91541" y="88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4114" y="84010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294</xdr:row>
      <xdr:rowOff>0</xdr:rowOff>
    </xdr:from>
    <xdr:ext cx="381000" cy="274320"/>
    <xdr:grpSp>
      <xdr:nvGrpSpPr>
        <xdr:cNvPr id="275" name="Group 275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GrpSpPr/>
      </xdr:nvGrpSpPr>
      <xdr:grpSpPr>
        <a:xfrm>
          <a:off x="5010150" y="102860475"/>
          <a:ext cx="381000" cy="274320"/>
          <a:chOff x="0" y="0"/>
          <a:chExt cx="381000" cy="274320"/>
        </a:xfrm>
      </xdr:grpSpPr>
      <xdr:sp macro="" textlink="">
        <xdr:nvSpPr>
          <xdr:cNvPr id="276" name="Shape 276">
            <a:extLst>
              <a:ext uri="{FF2B5EF4-FFF2-40B4-BE49-F238E27FC236}">
                <a16:creationId xmlns:a16="http://schemas.microsoft.com/office/drawing/2014/main" id="{00000000-0008-0000-0100-000014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19"/>
                </a:moveTo>
                <a:lnTo>
                  <a:pt x="0" y="274319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19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77" name="Shape 277">
            <a:extLst>
              <a:ext uri="{FF2B5EF4-FFF2-40B4-BE49-F238E27FC236}">
                <a16:creationId xmlns:a16="http://schemas.microsoft.com/office/drawing/2014/main" id="{00000000-0008-0000-0100-000015010000}"/>
              </a:ext>
            </a:extLst>
          </xdr:cNvPr>
          <xdr:cNvSpPr/>
        </xdr:nvSpPr>
        <xdr:spPr>
          <a:xfrm>
            <a:off x="72669" y="81063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8188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8376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6664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4302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3716"/>
                </a:lnTo>
                <a:lnTo>
                  <a:pt x="143446" y="15328"/>
                </a:lnTo>
                <a:lnTo>
                  <a:pt x="146494" y="18376"/>
                </a:lnTo>
                <a:lnTo>
                  <a:pt x="149542" y="22948"/>
                </a:lnTo>
                <a:lnTo>
                  <a:pt x="152590" y="29044"/>
                </a:lnTo>
                <a:lnTo>
                  <a:pt x="154114" y="36664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1524"/>
                </a:lnTo>
                <a:lnTo>
                  <a:pt x="131254" y="0"/>
                </a:lnTo>
                <a:lnTo>
                  <a:pt x="91541" y="0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3446" y="88582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7812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8188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296</xdr:row>
      <xdr:rowOff>-2</xdr:rowOff>
    </xdr:from>
    <xdr:ext cx="381000" cy="274320"/>
    <xdr:grpSp>
      <xdr:nvGrpSpPr>
        <xdr:cNvPr id="278" name="Group 278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GrpSpPr/>
      </xdr:nvGrpSpPr>
      <xdr:grpSpPr>
        <a:xfrm>
          <a:off x="5010150" y="103546273"/>
          <a:ext cx="381000" cy="274320"/>
          <a:chOff x="0" y="0"/>
          <a:chExt cx="381000" cy="274320"/>
        </a:xfrm>
      </xdr:grpSpPr>
      <xdr:sp macro="" textlink="">
        <xdr:nvSpPr>
          <xdr:cNvPr id="279" name="Shape 279">
            <a:extLst>
              <a:ext uri="{FF2B5EF4-FFF2-40B4-BE49-F238E27FC236}">
                <a16:creationId xmlns:a16="http://schemas.microsoft.com/office/drawing/2014/main" id="{00000000-0008-0000-0100-000017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80" name="Shape 280">
            <a:extLst>
              <a:ext uri="{FF2B5EF4-FFF2-40B4-BE49-F238E27FC236}">
                <a16:creationId xmlns:a16="http://schemas.microsoft.com/office/drawing/2014/main" id="{00000000-0008-0000-0100-000018010000}"/>
              </a:ext>
            </a:extLst>
          </xdr:cNvPr>
          <xdr:cNvSpPr/>
        </xdr:nvSpPr>
        <xdr:spPr>
          <a:xfrm>
            <a:off x="72669" y="81914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12"/>
                </a:moveTo>
                <a:lnTo>
                  <a:pt x="59537" y="12"/>
                </a:lnTo>
                <a:lnTo>
                  <a:pt x="59537" y="71729"/>
                </a:lnTo>
                <a:lnTo>
                  <a:pt x="12192" y="12"/>
                </a:lnTo>
                <a:lnTo>
                  <a:pt x="0" y="12"/>
                </a:lnTo>
                <a:lnTo>
                  <a:pt x="0" y="90119"/>
                </a:lnTo>
                <a:lnTo>
                  <a:pt x="12192" y="90119"/>
                </a:lnTo>
                <a:lnTo>
                  <a:pt x="12192" y="18389"/>
                </a:lnTo>
                <a:lnTo>
                  <a:pt x="59537" y="90119"/>
                </a:lnTo>
                <a:lnTo>
                  <a:pt x="71729" y="90119"/>
                </a:lnTo>
                <a:lnTo>
                  <a:pt x="71729" y="12"/>
                </a:lnTo>
                <a:close/>
              </a:path>
              <a:path w="168275" h="90170">
                <a:moveTo>
                  <a:pt x="167932" y="36677"/>
                </a:moveTo>
                <a:lnTo>
                  <a:pt x="166408" y="29057"/>
                </a:lnTo>
                <a:lnTo>
                  <a:pt x="163360" y="22961"/>
                </a:lnTo>
                <a:lnTo>
                  <a:pt x="161836" y="16865"/>
                </a:lnTo>
                <a:lnTo>
                  <a:pt x="157162" y="10769"/>
                </a:lnTo>
                <a:lnTo>
                  <a:pt x="154114" y="8737"/>
                </a:lnTo>
                <a:lnTo>
                  <a:pt x="154114" y="35153"/>
                </a:lnTo>
                <a:lnTo>
                  <a:pt x="154114" y="56489"/>
                </a:lnTo>
                <a:lnTo>
                  <a:pt x="152590" y="61061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43446" y="74866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69"/>
                </a:lnTo>
                <a:lnTo>
                  <a:pt x="135826" y="10769"/>
                </a:lnTo>
                <a:lnTo>
                  <a:pt x="138874" y="12293"/>
                </a:lnTo>
                <a:lnTo>
                  <a:pt x="143446" y="13817"/>
                </a:lnTo>
                <a:lnTo>
                  <a:pt x="146494" y="16865"/>
                </a:lnTo>
                <a:lnTo>
                  <a:pt x="149542" y="22961"/>
                </a:lnTo>
                <a:lnTo>
                  <a:pt x="152590" y="27533"/>
                </a:lnTo>
                <a:lnTo>
                  <a:pt x="154114" y="35153"/>
                </a:lnTo>
                <a:lnTo>
                  <a:pt x="154114" y="8737"/>
                </a:lnTo>
                <a:lnTo>
                  <a:pt x="152590" y="7721"/>
                </a:lnTo>
                <a:lnTo>
                  <a:pt x="149542" y="4673"/>
                </a:lnTo>
                <a:lnTo>
                  <a:pt x="144970" y="1625"/>
                </a:lnTo>
                <a:lnTo>
                  <a:pt x="138874" y="0"/>
                </a:lnTo>
                <a:lnTo>
                  <a:pt x="91541" y="0"/>
                </a:lnTo>
                <a:lnTo>
                  <a:pt x="91541" y="90119"/>
                </a:lnTo>
                <a:lnTo>
                  <a:pt x="135826" y="90119"/>
                </a:lnTo>
                <a:lnTo>
                  <a:pt x="138874" y="88582"/>
                </a:lnTo>
                <a:lnTo>
                  <a:pt x="148018" y="85534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1729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677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298</xdr:row>
      <xdr:rowOff>0</xdr:rowOff>
    </xdr:from>
    <xdr:ext cx="381000" cy="276225"/>
    <xdr:grpSp>
      <xdr:nvGrpSpPr>
        <xdr:cNvPr id="281" name="Group 281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GrpSpPr/>
      </xdr:nvGrpSpPr>
      <xdr:grpSpPr>
        <a:xfrm>
          <a:off x="5010150" y="104222550"/>
          <a:ext cx="381000" cy="276225"/>
          <a:chOff x="0" y="0"/>
          <a:chExt cx="381000" cy="276225"/>
        </a:xfrm>
      </xdr:grpSpPr>
      <xdr:sp macro="" textlink="">
        <xdr:nvSpPr>
          <xdr:cNvPr id="282" name="Shape 282">
            <a:extLst>
              <a:ext uri="{FF2B5EF4-FFF2-40B4-BE49-F238E27FC236}">
                <a16:creationId xmlns:a16="http://schemas.microsoft.com/office/drawing/2014/main" id="{00000000-0008-0000-0100-00001A010000}"/>
              </a:ext>
            </a:extLst>
          </xdr:cNvPr>
          <xdr:cNvSpPr/>
        </xdr:nvSpPr>
        <xdr:spPr>
          <a:xfrm>
            <a:off x="0" y="0"/>
            <a:ext cx="381000" cy="276225"/>
          </a:xfrm>
          <a:custGeom>
            <a:avLst/>
            <a:gdLst/>
            <a:ahLst/>
            <a:cxnLst/>
            <a:rect l="0" t="0" r="0" b="0"/>
            <a:pathLst>
              <a:path w="381000" h="276225">
                <a:moveTo>
                  <a:pt x="381000" y="275844"/>
                </a:moveTo>
                <a:lnTo>
                  <a:pt x="0" y="275844"/>
                </a:lnTo>
                <a:lnTo>
                  <a:pt x="0" y="0"/>
                </a:lnTo>
                <a:lnTo>
                  <a:pt x="381000" y="0"/>
                </a:lnTo>
                <a:lnTo>
                  <a:pt x="381000" y="275844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83" name="Shape 283">
            <a:extLst>
              <a:ext uri="{FF2B5EF4-FFF2-40B4-BE49-F238E27FC236}">
                <a16:creationId xmlns:a16="http://schemas.microsoft.com/office/drawing/2014/main" id="{00000000-0008-0000-0100-00001B010000}"/>
              </a:ext>
            </a:extLst>
          </xdr:cNvPr>
          <xdr:cNvSpPr/>
        </xdr:nvSpPr>
        <xdr:spPr>
          <a:xfrm>
            <a:off x="72669" y="82778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0106"/>
                </a:lnTo>
                <a:lnTo>
                  <a:pt x="12192" y="90106"/>
                </a:lnTo>
                <a:lnTo>
                  <a:pt x="12192" y="18376"/>
                </a:lnTo>
                <a:lnTo>
                  <a:pt x="59537" y="90106"/>
                </a:lnTo>
                <a:lnTo>
                  <a:pt x="71729" y="90106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664"/>
                </a:moveTo>
                <a:lnTo>
                  <a:pt x="166408" y="29044"/>
                </a:lnTo>
                <a:lnTo>
                  <a:pt x="163360" y="22948"/>
                </a:lnTo>
                <a:lnTo>
                  <a:pt x="161836" y="16852"/>
                </a:lnTo>
                <a:lnTo>
                  <a:pt x="157162" y="10756"/>
                </a:lnTo>
                <a:lnTo>
                  <a:pt x="154114" y="8724"/>
                </a:lnTo>
                <a:lnTo>
                  <a:pt x="154114" y="35140"/>
                </a:lnTo>
                <a:lnTo>
                  <a:pt x="154114" y="56476"/>
                </a:lnTo>
                <a:lnTo>
                  <a:pt x="152590" y="62572"/>
                </a:lnTo>
                <a:lnTo>
                  <a:pt x="151066" y="67144"/>
                </a:lnTo>
                <a:lnTo>
                  <a:pt x="148018" y="70192"/>
                </a:lnTo>
                <a:lnTo>
                  <a:pt x="146494" y="73240"/>
                </a:lnTo>
                <a:lnTo>
                  <a:pt x="143446" y="74866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56"/>
                </a:lnTo>
                <a:lnTo>
                  <a:pt x="135826" y="10756"/>
                </a:lnTo>
                <a:lnTo>
                  <a:pt x="138874" y="12280"/>
                </a:lnTo>
                <a:lnTo>
                  <a:pt x="143446" y="13804"/>
                </a:lnTo>
                <a:lnTo>
                  <a:pt x="146494" y="16852"/>
                </a:lnTo>
                <a:lnTo>
                  <a:pt x="149542" y="22948"/>
                </a:lnTo>
                <a:lnTo>
                  <a:pt x="152590" y="27520"/>
                </a:lnTo>
                <a:lnTo>
                  <a:pt x="154114" y="35140"/>
                </a:lnTo>
                <a:lnTo>
                  <a:pt x="154114" y="8724"/>
                </a:lnTo>
                <a:lnTo>
                  <a:pt x="152590" y="7708"/>
                </a:lnTo>
                <a:lnTo>
                  <a:pt x="149542" y="4660"/>
                </a:lnTo>
                <a:lnTo>
                  <a:pt x="144970" y="1612"/>
                </a:lnTo>
                <a:lnTo>
                  <a:pt x="138874" y="1612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0106"/>
                </a:lnTo>
                <a:lnTo>
                  <a:pt x="135826" y="90106"/>
                </a:lnTo>
                <a:lnTo>
                  <a:pt x="138874" y="88582"/>
                </a:lnTo>
                <a:lnTo>
                  <a:pt x="143446" y="88582"/>
                </a:lnTo>
                <a:lnTo>
                  <a:pt x="148018" y="87058"/>
                </a:lnTo>
                <a:lnTo>
                  <a:pt x="151066" y="84010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3240"/>
                </a:lnTo>
                <a:lnTo>
                  <a:pt x="163360" y="68668"/>
                </a:lnTo>
                <a:lnTo>
                  <a:pt x="164884" y="62572"/>
                </a:lnTo>
                <a:lnTo>
                  <a:pt x="166408" y="58000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300</xdr:row>
      <xdr:rowOff>2</xdr:rowOff>
    </xdr:from>
    <xdr:ext cx="381000" cy="274320"/>
    <xdr:grpSp>
      <xdr:nvGrpSpPr>
        <xdr:cNvPr id="284" name="Group 284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GrpSpPr/>
      </xdr:nvGrpSpPr>
      <xdr:grpSpPr>
        <a:xfrm>
          <a:off x="5010150" y="104917877"/>
          <a:ext cx="381000" cy="274320"/>
          <a:chOff x="0" y="0"/>
          <a:chExt cx="381000" cy="274320"/>
        </a:xfrm>
      </xdr:grpSpPr>
      <xdr:sp macro="" textlink="">
        <xdr:nvSpPr>
          <xdr:cNvPr id="285" name="Shape 285">
            <a:extLst>
              <a:ext uri="{FF2B5EF4-FFF2-40B4-BE49-F238E27FC236}">
                <a16:creationId xmlns:a16="http://schemas.microsoft.com/office/drawing/2014/main" id="{00000000-0008-0000-0100-00001D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86" name="Shape 286">
            <a:extLst>
              <a:ext uri="{FF2B5EF4-FFF2-40B4-BE49-F238E27FC236}">
                <a16:creationId xmlns:a16="http://schemas.microsoft.com/office/drawing/2014/main" id="{00000000-0008-0000-0100-00001E010000}"/>
              </a:ext>
            </a:extLst>
          </xdr:cNvPr>
          <xdr:cNvSpPr/>
        </xdr:nvSpPr>
        <xdr:spPr>
          <a:xfrm>
            <a:off x="72669" y="80682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29044"/>
                </a:lnTo>
                <a:lnTo>
                  <a:pt x="163360" y="22948"/>
                </a:lnTo>
                <a:lnTo>
                  <a:pt x="161836" y="16852"/>
                </a:lnTo>
                <a:lnTo>
                  <a:pt x="157162" y="12280"/>
                </a:lnTo>
                <a:lnTo>
                  <a:pt x="155638" y="10756"/>
                </a:lnTo>
                <a:lnTo>
                  <a:pt x="154114" y="9232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2590" y="62572"/>
                </a:lnTo>
                <a:lnTo>
                  <a:pt x="151066" y="67246"/>
                </a:lnTo>
                <a:lnTo>
                  <a:pt x="148018" y="70294"/>
                </a:lnTo>
                <a:lnTo>
                  <a:pt x="146494" y="73342"/>
                </a:lnTo>
                <a:lnTo>
                  <a:pt x="143446" y="76390"/>
                </a:lnTo>
                <a:lnTo>
                  <a:pt x="140398" y="77914"/>
                </a:lnTo>
                <a:lnTo>
                  <a:pt x="137350" y="77914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56"/>
                </a:lnTo>
                <a:lnTo>
                  <a:pt x="135826" y="10756"/>
                </a:lnTo>
                <a:lnTo>
                  <a:pt x="138874" y="12280"/>
                </a:lnTo>
                <a:lnTo>
                  <a:pt x="143446" y="13804"/>
                </a:lnTo>
                <a:lnTo>
                  <a:pt x="152590" y="27520"/>
                </a:lnTo>
                <a:lnTo>
                  <a:pt x="154114" y="35140"/>
                </a:lnTo>
                <a:lnTo>
                  <a:pt x="154114" y="9232"/>
                </a:lnTo>
                <a:lnTo>
                  <a:pt x="149542" y="4660"/>
                </a:lnTo>
                <a:lnTo>
                  <a:pt x="144970" y="1612"/>
                </a:lnTo>
                <a:lnTo>
                  <a:pt x="138874" y="1612"/>
                </a:lnTo>
                <a:lnTo>
                  <a:pt x="135826" y="88"/>
                </a:lnTo>
                <a:lnTo>
                  <a:pt x="91541" y="88"/>
                </a:lnTo>
                <a:lnTo>
                  <a:pt x="91541" y="91630"/>
                </a:lnTo>
                <a:lnTo>
                  <a:pt x="129730" y="91630"/>
                </a:lnTo>
                <a:lnTo>
                  <a:pt x="135826" y="90106"/>
                </a:lnTo>
                <a:lnTo>
                  <a:pt x="138874" y="88582"/>
                </a:lnTo>
                <a:lnTo>
                  <a:pt x="143446" y="88582"/>
                </a:lnTo>
                <a:lnTo>
                  <a:pt x="148018" y="87058"/>
                </a:lnTo>
                <a:lnTo>
                  <a:pt x="151066" y="85534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2572"/>
                </a:lnTo>
                <a:lnTo>
                  <a:pt x="166408" y="58000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302</xdr:row>
      <xdr:rowOff>-2</xdr:rowOff>
    </xdr:from>
    <xdr:ext cx="381000" cy="274320"/>
    <xdr:grpSp>
      <xdr:nvGrpSpPr>
        <xdr:cNvPr id="287" name="Group 287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GrpSpPr/>
      </xdr:nvGrpSpPr>
      <xdr:grpSpPr>
        <a:xfrm>
          <a:off x="5010150" y="105603673"/>
          <a:ext cx="381000" cy="274320"/>
          <a:chOff x="0" y="0"/>
          <a:chExt cx="381000" cy="274320"/>
        </a:xfrm>
      </xdr:grpSpPr>
      <xdr:sp macro="" textlink="">
        <xdr:nvSpPr>
          <xdr:cNvPr id="288" name="Shape 288">
            <a:extLst>
              <a:ext uri="{FF2B5EF4-FFF2-40B4-BE49-F238E27FC236}">
                <a16:creationId xmlns:a16="http://schemas.microsoft.com/office/drawing/2014/main" id="{00000000-0008-0000-0100-000020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89" name="Shape 289">
            <a:extLst>
              <a:ext uri="{FF2B5EF4-FFF2-40B4-BE49-F238E27FC236}">
                <a16:creationId xmlns:a16="http://schemas.microsoft.com/office/drawing/2014/main" id="{00000000-0008-0000-0100-000021010000}"/>
              </a:ext>
            </a:extLst>
          </xdr:cNvPr>
          <xdr:cNvSpPr/>
        </xdr:nvSpPr>
        <xdr:spPr>
          <a:xfrm>
            <a:off x="72669" y="80009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13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766"/>
                </a:moveTo>
                <a:lnTo>
                  <a:pt x="166408" y="29057"/>
                </a:lnTo>
                <a:lnTo>
                  <a:pt x="163360" y="22961"/>
                </a:lnTo>
                <a:lnTo>
                  <a:pt x="161836" y="16865"/>
                </a:lnTo>
                <a:lnTo>
                  <a:pt x="157162" y="12293"/>
                </a:lnTo>
                <a:lnTo>
                  <a:pt x="155638" y="10769"/>
                </a:lnTo>
                <a:lnTo>
                  <a:pt x="154114" y="9245"/>
                </a:lnTo>
                <a:lnTo>
                  <a:pt x="154114" y="35242"/>
                </a:lnTo>
                <a:lnTo>
                  <a:pt x="154114" y="58102"/>
                </a:lnTo>
                <a:lnTo>
                  <a:pt x="151066" y="67246"/>
                </a:lnTo>
                <a:lnTo>
                  <a:pt x="148018" y="71818"/>
                </a:lnTo>
                <a:lnTo>
                  <a:pt x="143446" y="76390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69"/>
                </a:lnTo>
                <a:lnTo>
                  <a:pt x="135826" y="10769"/>
                </a:lnTo>
                <a:lnTo>
                  <a:pt x="138874" y="12293"/>
                </a:lnTo>
                <a:lnTo>
                  <a:pt x="143446" y="13817"/>
                </a:lnTo>
                <a:lnTo>
                  <a:pt x="152590" y="27533"/>
                </a:lnTo>
                <a:lnTo>
                  <a:pt x="154114" y="35242"/>
                </a:lnTo>
                <a:lnTo>
                  <a:pt x="154114" y="9245"/>
                </a:lnTo>
                <a:lnTo>
                  <a:pt x="149542" y="4673"/>
                </a:lnTo>
                <a:lnTo>
                  <a:pt x="144970" y="3149"/>
                </a:lnTo>
                <a:lnTo>
                  <a:pt x="138874" y="1625"/>
                </a:lnTo>
                <a:lnTo>
                  <a:pt x="135826" y="101"/>
                </a:lnTo>
                <a:lnTo>
                  <a:pt x="91541" y="101"/>
                </a:lnTo>
                <a:lnTo>
                  <a:pt x="91541" y="91630"/>
                </a:lnTo>
                <a:lnTo>
                  <a:pt x="129730" y="91630"/>
                </a:lnTo>
                <a:lnTo>
                  <a:pt x="135826" y="90106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1066" y="85534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4884" y="64198"/>
                </a:lnTo>
                <a:lnTo>
                  <a:pt x="167932" y="52006"/>
                </a:lnTo>
                <a:lnTo>
                  <a:pt x="167932" y="3676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304</xdr:row>
      <xdr:rowOff>0</xdr:rowOff>
    </xdr:from>
    <xdr:ext cx="381000" cy="274320"/>
    <xdr:grpSp>
      <xdr:nvGrpSpPr>
        <xdr:cNvPr id="290" name="Group 290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GrpSpPr/>
      </xdr:nvGrpSpPr>
      <xdr:grpSpPr>
        <a:xfrm>
          <a:off x="5010150" y="106279950"/>
          <a:ext cx="381000" cy="274320"/>
          <a:chOff x="0" y="0"/>
          <a:chExt cx="381000" cy="274320"/>
        </a:xfrm>
      </xdr:grpSpPr>
      <xdr:sp macro="" textlink="">
        <xdr:nvSpPr>
          <xdr:cNvPr id="291" name="Shape 291">
            <a:extLst>
              <a:ext uri="{FF2B5EF4-FFF2-40B4-BE49-F238E27FC236}">
                <a16:creationId xmlns:a16="http://schemas.microsoft.com/office/drawing/2014/main" id="{00000000-0008-0000-0100-000023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292" name="Shape 292">
            <a:extLst>
              <a:ext uri="{FF2B5EF4-FFF2-40B4-BE49-F238E27FC236}">
                <a16:creationId xmlns:a16="http://schemas.microsoft.com/office/drawing/2014/main" id="{00000000-0008-0000-0100-000024010000}"/>
              </a:ext>
            </a:extLst>
          </xdr:cNvPr>
          <xdr:cNvSpPr/>
        </xdr:nvSpPr>
        <xdr:spPr>
          <a:xfrm>
            <a:off x="72669" y="80962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13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77"/>
                </a:moveTo>
                <a:lnTo>
                  <a:pt x="166408" y="30581"/>
                </a:lnTo>
                <a:lnTo>
                  <a:pt x="163360" y="24485"/>
                </a:lnTo>
                <a:lnTo>
                  <a:pt x="161836" y="16865"/>
                </a:lnTo>
                <a:lnTo>
                  <a:pt x="157162" y="12293"/>
                </a:lnTo>
                <a:lnTo>
                  <a:pt x="155638" y="10769"/>
                </a:lnTo>
                <a:lnTo>
                  <a:pt x="154114" y="9245"/>
                </a:lnTo>
                <a:lnTo>
                  <a:pt x="154114" y="35153"/>
                </a:lnTo>
                <a:lnTo>
                  <a:pt x="154114" y="58013"/>
                </a:lnTo>
                <a:lnTo>
                  <a:pt x="151066" y="67157"/>
                </a:lnTo>
                <a:lnTo>
                  <a:pt x="148018" y="71818"/>
                </a:lnTo>
                <a:lnTo>
                  <a:pt x="146494" y="74866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69"/>
                </a:lnTo>
                <a:lnTo>
                  <a:pt x="129730" y="10769"/>
                </a:lnTo>
                <a:lnTo>
                  <a:pt x="135826" y="12293"/>
                </a:lnTo>
                <a:lnTo>
                  <a:pt x="138874" y="12293"/>
                </a:lnTo>
                <a:lnTo>
                  <a:pt x="154114" y="35153"/>
                </a:lnTo>
                <a:lnTo>
                  <a:pt x="154114" y="9245"/>
                </a:lnTo>
                <a:lnTo>
                  <a:pt x="149542" y="4673"/>
                </a:lnTo>
                <a:lnTo>
                  <a:pt x="144970" y="3149"/>
                </a:lnTo>
                <a:lnTo>
                  <a:pt x="138874" y="1625"/>
                </a:lnTo>
                <a:lnTo>
                  <a:pt x="135826" y="101"/>
                </a:lnTo>
                <a:lnTo>
                  <a:pt x="91541" y="101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4114" y="84010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4109"/>
                </a:lnTo>
                <a:lnTo>
                  <a:pt x="167932" y="51917"/>
                </a:lnTo>
                <a:lnTo>
                  <a:pt x="167932" y="36677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0</xdr:col>
      <xdr:colOff>179831</xdr:colOff>
      <xdr:row>321</xdr:row>
      <xdr:rowOff>0</xdr:rowOff>
    </xdr:from>
    <xdr:ext cx="7426959" cy="548640"/>
    <xdr:grpSp>
      <xdr:nvGrpSpPr>
        <xdr:cNvPr id="293" name="Group 293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GrpSpPr/>
      </xdr:nvGrpSpPr>
      <xdr:grpSpPr>
        <a:xfrm>
          <a:off x="179831" y="112137825"/>
          <a:ext cx="7426959" cy="548640"/>
          <a:chOff x="0" y="0"/>
          <a:chExt cx="7426959" cy="548640"/>
        </a:xfrm>
      </xdr:grpSpPr>
      <xdr:sp macro="" textlink="">
        <xdr:nvSpPr>
          <xdr:cNvPr id="294" name="Shape 294">
            <a:extLst>
              <a:ext uri="{FF2B5EF4-FFF2-40B4-BE49-F238E27FC236}">
                <a16:creationId xmlns:a16="http://schemas.microsoft.com/office/drawing/2014/main" id="{00000000-0008-0000-0100-00002601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295" name="image4.png">
            <a:extLst>
              <a:ext uri="{FF2B5EF4-FFF2-40B4-BE49-F238E27FC236}">
                <a16:creationId xmlns:a16="http://schemas.microsoft.com/office/drawing/2014/main" id="{00000000-0008-0000-0100-00002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296" name="Shape 296">
            <a:extLst>
              <a:ext uri="{FF2B5EF4-FFF2-40B4-BE49-F238E27FC236}">
                <a16:creationId xmlns:a16="http://schemas.microsoft.com/office/drawing/2014/main" id="{00000000-0008-0000-0100-00002801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297" name="Shape 297">
            <a:extLst>
              <a:ext uri="{FF2B5EF4-FFF2-40B4-BE49-F238E27FC236}">
                <a16:creationId xmlns:a16="http://schemas.microsoft.com/office/drawing/2014/main" id="{00000000-0008-0000-0100-000029010000}"/>
              </a:ext>
            </a:extLst>
          </xdr:cNvPr>
          <xdr:cNvSpPr/>
        </xdr:nvSpPr>
        <xdr:spPr>
          <a:xfrm>
            <a:off x="0" y="274319"/>
            <a:ext cx="4799330" cy="274320"/>
          </a:xfrm>
          <a:custGeom>
            <a:avLst/>
            <a:gdLst/>
            <a:ahLst/>
            <a:cxnLst/>
            <a:rect l="0" t="0" r="0" b="0"/>
            <a:pathLst>
              <a:path w="4799330" h="27432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274320"/>
                </a:lnTo>
                <a:lnTo>
                  <a:pt x="4799076" y="27432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3</xdr:col>
      <xdr:colOff>0</xdr:colOff>
      <xdr:row>307</xdr:row>
      <xdr:rowOff>4</xdr:rowOff>
    </xdr:from>
    <xdr:ext cx="381000" cy="274320"/>
    <xdr:grpSp>
      <xdr:nvGrpSpPr>
        <xdr:cNvPr id="298" name="Group 298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GrpSpPr/>
      </xdr:nvGrpSpPr>
      <xdr:grpSpPr>
        <a:xfrm>
          <a:off x="5010150" y="107432479"/>
          <a:ext cx="381000" cy="274320"/>
          <a:chOff x="0" y="0"/>
          <a:chExt cx="381000" cy="274320"/>
        </a:xfrm>
      </xdr:grpSpPr>
      <xdr:sp macro="" textlink="">
        <xdr:nvSpPr>
          <xdr:cNvPr id="299" name="Shape 299">
            <a:extLst>
              <a:ext uri="{FF2B5EF4-FFF2-40B4-BE49-F238E27FC236}">
                <a16:creationId xmlns:a16="http://schemas.microsoft.com/office/drawing/2014/main" id="{00000000-0008-0000-0100-00002B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00" name="Shape 300">
            <a:extLst>
              <a:ext uri="{FF2B5EF4-FFF2-40B4-BE49-F238E27FC236}">
                <a16:creationId xmlns:a16="http://schemas.microsoft.com/office/drawing/2014/main" id="{00000000-0008-0000-0100-00002C010000}"/>
              </a:ext>
            </a:extLst>
          </xdr:cNvPr>
          <xdr:cNvSpPr/>
        </xdr:nvSpPr>
        <xdr:spPr>
          <a:xfrm>
            <a:off x="72669" y="8011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6852"/>
                </a:lnTo>
                <a:lnTo>
                  <a:pt x="157162" y="12280"/>
                </a:lnTo>
                <a:lnTo>
                  <a:pt x="155638" y="10756"/>
                </a:lnTo>
                <a:lnTo>
                  <a:pt x="154114" y="9232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818"/>
                </a:lnTo>
                <a:lnTo>
                  <a:pt x="146494" y="74866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56"/>
                </a:lnTo>
                <a:lnTo>
                  <a:pt x="129730" y="10756"/>
                </a:lnTo>
                <a:lnTo>
                  <a:pt x="135826" y="12280"/>
                </a:lnTo>
                <a:lnTo>
                  <a:pt x="138874" y="12280"/>
                </a:lnTo>
                <a:lnTo>
                  <a:pt x="154114" y="35140"/>
                </a:lnTo>
                <a:lnTo>
                  <a:pt x="154114" y="9232"/>
                </a:lnTo>
                <a:lnTo>
                  <a:pt x="149542" y="4660"/>
                </a:lnTo>
                <a:lnTo>
                  <a:pt x="144970" y="3136"/>
                </a:lnTo>
                <a:lnTo>
                  <a:pt x="138874" y="1612"/>
                </a:lnTo>
                <a:lnTo>
                  <a:pt x="135826" y="88"/>
                </a:lnTo>
                <a:lnTo>
                  <a:pt x="91541" y="88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4114" y="84010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309</xdr:row>
      <xdr:rowOff>-4</xdr:rowOff>
    </xdr:from>
    <xdr:ext cx="381000" cy="274320"/>
    <xdr:grpSp>
      <xdr:nvGrpSpPr>
        <xdr:cNvPr id="301" name="Group 301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GrpSpPr/>
      </xdr:nvGrpSpPr>
      <xdr:grpSpPr>
        <a:xfrm>
          <a:off x="5010150" y="108108746"/>
          <a:ext cx="381000" cy="274320"/>
          <a:chOff x="0" y="0"/>
          <a:chExt cx="381000" cy="274320"/>
        </a:xfrm>
      </xdr:grpSpPr>
      <xdr:sp macro="" textlink="">
        <xdr:nvSpPr>
          <xdr:cNvPr id="302" name="Shape 302">
            <a:extLst>
              <a:ext uri="{FF2B5EF4-FFF2-40B4-BE49-F238E27FC236}">
                <a16:creationId xmlns:a16="http://schemas.microsoft.com/office/drawing/2014/main" id="{00000000-0008-0000-0100-00002E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19"/>
                </a:moveTo>
                <a:lnTo>
                  <a:pt x="0" y="274319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19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03" name="Shape 303">
            <a:extLst>
              <a:ext uri="{FF2B5EF4-FFF2-40B4-BE49-F238E27FC236}">
                <a16:creationId xmlns:a16="http://schemas.microsoft.com/office/drawing/2014/main" id="{00000000-0008-0000-0100-00002F010000}"/>
              </a:ext>
            </a:extLst>
          </xdr:cNvPr>
          <xdr:cNvSpPr/>
        </xdr:nvSpPr>
        <xdr:spPr>
          <a:xfrm>
            <a:off x="72669" y="81063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8188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8376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6664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4302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3716"/>
                </a:lnTo>
                <a:lnTo>
                  <a:pt x="143446" y="15328"/>
                </a:lnTo>
                <a:lnTo>
                  <a:pt x="146494" y="18376"/>
                </a:lnTo>
                <a:lnTo>
                  <a:pt x="149542" y="22948"/>
                </a:lnTo>
                <a:lnTo>
                  <a:pt x="152590" y="29044"/>
                </a:lnTo>
                <a:lnTo>
                  <a:pt x="154114" y="36664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1524"/>
                </a:lnTo>
                <a:lnTo>
                  <a:pt x="131254" y="0"/>
                </a:lnTo>
                <a:lnTo>
                  <a:pt x="91541" y="0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3446" y="88582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7812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8188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311</xdr:row>
      <xdr:rowOff>4</xdr:rowOff>
    </xdr:from>
    <xdr:ext cx="381000" cy="274320"/>
    <xdr:grpSp>
      <xdr:nvGrpSpPr>
        <xdr:cNvPr id="304" name="Group 304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GrpSpPr/>
      </xdr:nvGrpSpPr>
      <xdr:grpSpPr>
        <a:xfrm>
          <a:off x="5010150" y="108794554"/>
          <a:ext cx="381000" cy="274320"/>
          <a:chOff x="0" y="0"/>
          <a:chExt cx="381000" cy="274320"/>
        </a:xfrm>
      </xdr:grpSpPr>
      <xdr:sp macro="" textlink="">
        <xdr:nvSpPr>
          <xdr:cNvPr id="305" name="Shape 305">
            <a:extLst>
              <a:ext uri="{FF2B5EF4-FFF2-40B4-BE49-F238E27FC236}">
                <a16:creationId xmlns:a16="http://schemas.microsoft.com/office/drawing/2014/main" id="{00000000-0008-0000-0100-000031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06" name="Shape 306">
            <a:extLst>
              <a:ext uri="{FF2B5EF4-FFF2-40B4-BE49-F238E27FC236}">
                <a16:creationId xmlns:a16="http://schemas.microsoft.com/office/drawing/2014/main" id="{00000000-0008-0000-0100-000032010000}"/>
              </a:ext>
            </a:extLst>
          </xdr:cNvPr>
          <xdr:cNvSpPr/>
        </xdr:nvSpPr>
        <xdr:spPr>
          <a:xfrm>
            <a:off x="72669" y="81927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0192"/>
                </a:lnTo>
                <a:lnTo>
                  <a:pt x="12192" y="0"/>
                </a:lnTo>
                <a:lnTo>
                  <a:pt x="0" y="0"/>
                </a:lnTo>
                <a:lnTo>
                  <a:pt x="0" y="90106"/>
                </a:lnTo>
                <a:lnTo>
                  <a:pt x="12192" y="90106"/>
                </a:lnTo>
                <a:lnTo>
                  <a:pt x="12192" y="18376"/>
                </a:lnTo>
                <a:lnTo>
                  <a:pt x="59537" y="90106"/>
                </a:lnTo>
                <a:lnTo>
                  <a:pt x="71729" y="90106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664"/>
                </a:moveTo>
                <a:lnTo>
                  <a:pt x="166408" y="29044"/>
                </a:lnTo>
                <a:lnTo>
                  <a:pt x="163360" y="22948"/>
                </a:lnTo>
                <a:lnTo>
                  <a:pt x="161836" y="16852"/>
                </a:lnTo>
                <a:lnTo>
                  <a:pt x="157162" y="10756"/>
                </a:lnTo>
                <a:lnTo>
                  <a:pt x="154114" y="8724"/>
                </a:lnTo>
                <a:lnTo>
                  <a:pt x="154114" y="35140"/>
                </a:lnTo>
                <a:lnTo>
                  <a:pt x="154114" y="56565"/>
                </a:lnTo>
                <a:lnTo>
                  <a:pt x="152590" y="61137"/>
                </a:lnTo>
                <a:lnTo>
                  <a:pt x="151066" y="67233"/>
                </a:lnTo>
                <a:lnTo>
                  <a:pt x="148018" y="70281"/>
                </a:lnTo>
                <a:lnTo>
                  <a:pt x="146494" y="73329"/>
                </a:lnTo>
                <a:lnTo>
                  <a:pt x="134302" y="79425"/>
                </a:lnTo>
                <a:lnTo>
                  <a:pt x="103822" y="79425"/>
                </a:lnTo>
                <a:lnTo>
                  <a:pt x="103822" y="10756"/>
                </a:lnTo>
                <a:lnTo>
                  <a:pt x="135826" y="10756"/>
                </a:lnTo>
                <a:lnTo>
                  <a:pt x="138874" y="12280"/>
                </a:lnTo>
                <a:lnTo>
                  <a:pt x="143446" y="13804"/>
                </a:lnTo>
                <a:lnTo>
                  <a:pt x="146494" y="16852"/>
                </a:lnTo>
                <a:lnTo>
                  <a:pt x="149542" y="22948"/>
                </a:lnTo>
                <a:lnTo>
                  <a:pt x="152590" y="27520"/>
                </a:lnTo>
                <a:lnTo>
                  <a:pt x="154114" y="35140"/>
                </a:lnTo>
                <a:lnTo>
                  <a:pt x="154114" y="8724"/>
                </a:lnTo>
                <a:lnTo>
                  <a:pt x="152590" y="7708"/>
                </a:lnTo>
                <a:lnTo>
                  <a:pt x="149542" y="4660"/>
                </a:lnTo>
                <a:lnTo>
                  <a:pt x="144970" y="1612"/>
                </a:lnTo>
                <a:lnTo>
                  <a:pt x="138874" y="88"/>
                </a:lnTo>
                <a:lnTo>
                  <a:pt x="91541" y="88"/>
                </a:lnTo>
                <a:lnTo>
                  <a:pt x="91541" y="90106"/>
                </a:lnTo>
                <a:lnTo>
                  <a:pt x="135826" y="90106"/>
                </a:lnTo>
                <a:lnTo>
                  <a:pt x="138874" y="88569"/>
                </a:lnTo>
                <a:lnTo>
                  <a:pt x="148018" y="85521"/>
                </a:lnTo>
                <a:lnTo>
                  <a:pt x="154114" y="82473"/>
                </a:lnTo>
                <a:lnTo>
                  <a:pt x="155638" y="79425"/>
                </a:lnTo>
                <a:lnTo>
                  <a:pt x="158788" y="76377"/>
                </a:lnTo>
                <a:lnTo>
                  <a:pt x="161836" y="71805"/>
                </a:lnTo>
                <a:lnTo>
                  <a:pt x="163360" y="68757"/>
                </a:lnTo>
                <a:lnTo>
                  <a:pt x="164884" y="62661"/>
                </a:lnTo>
                <a:lnTo>
                  <a:pt x="166408" y="58089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313</xdr:row>
      <xdr:rowOff>-4</xdr:rowOff>
    </xdr:from>
    <xdr:ext cx="381000" cy="276225"/>
    <xdr:grpSp>
      <xdr:nvGrpSpPr>
        <xdr:cNvPr id="307" name="Group 307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GrpSpPr/>
      </xdr:nvGrpSpPr>
      <xdr:grpSpPr>
        <a:xfrm>
          <a:off x="5010150" y="109470821"/>
          <a:ext cx="381000" cy="276225"/>
          <a:chOff x="0" y="0"/>
          <a:chExt cx="381000" cy="276225"/>
        </a:xfrm>
      </xdr:grpSpPr>
      <xdr:sp macro="" textlink="">
        <xdr:nvSpPr>
          <xdr:cNvPr id="308" name="Shape 308">
            <a:extLst>
              <a:ext uri="{FF2B5EF4-FFF2-40B4-BE49-F238E27FC236}">
                <a16:creationId xmlns:a16="http://schemas.microsoft.com/office/drawing/2014/main" id="{00000000-0008-0000-0100-000034010000}"/>
              </a:ext>
            </a:extLst>
          </xdr:cNvPr>
          <xdr:cNvSpPr/>
        </xdr:nvSpPr>
        <xdr:spPr>
          <a:xfrm>
            <a:off x="0" y="0"/>
            <a:ext cx="381000" cy="276225"/>
          </a:xfrm>
          <a:custGeom>
            <a:avLst/>
            <a:gdLst/>
            <a:ahLst/>
            <a:cxnLst/>
            <a:rect l="0" t="0" r="0" b="0"/>
            <a:pathLst>
              <a:path w="381000" h="276225">
                <a:moveTo>
                  <a:pt x="381000" y="275844"/>
                </a:moveTo>
                <a:lnTo>
                  <a:pt x="0" y="275844"/>
                </a:lnTo>
                <a:lnTo>
                  <a:pt x="0" y="0"/>
                </a:lnTo>
                <a:lnTo>
                  <a:pt x="381000" y="0"/>
                </a:lnTo>
                <a:lnTo>
                  <a:pt x="381000" y="275844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09" name="Shape 309">
            <a:extLst>
              <a:ext uri="{FF2B5EF4-FFF2-40B4-BE49-F238E27FC236}">
                <a16:creationId xmlns:a16="http://schemas.microsoft.com/office/drawing/2014/main" id="{00000000-0008-0000-0100-000035010000}"/>
              </a:ext>
            </a:extLst>
          </xdr:cNvPr>
          <xdr:cNvSpPr/>
        </xdr:nvSpPr>
        <xdr:spPr>
          <a:xfrm>
            <a:off x="72669" y="82778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0106"/>
                </a:lnTo>
                <a:lnTo>
                  <a:pt x="12192" y="90106"/>
                </a:lnTo>
                <a:lnTo>
                  <a:pt x="12192" y="18376"/>
                </a:lnTo>
                <a:lnTo>
                  <a:pt x="59537" y="90106"/>
                </a:lnTo>
                <a:lnTo>
                  <a:pt x="71729" y="90106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766"/>
                </a:moveTo>
                <a:lnTo>
                  <a:pt x="166408" y="29146"/>
                </a:lnTo>
                <a:lnTo>
                  <a:pt x="163360" y="23050"/>
                </a:lnTo>
                <a:lnTo>
                  <a:pt x="161836" y="16852"/>
                </a:lnTo>
                <a:lnTo>
                  <a:pt x="157162" y="10756"/>
                </a:lnTo>
                <a:lnTo>
                  <a:pt x="154114" y="8724"/>
                </a:lnTo>
                <a:lnTo>
                  <a:pt x="154114" y="35242"/>
                </a:lnTo>
                <a:lnTo>
                  <a:pt x="154114" y="56578"/>
                </a:lnTo>
                <a:lnTo>
                  <a:pt x="152590" y="62674"/>
                </a:lnTo>
                <a:lnTo>
                  <a:pt x="151066" y="67246"/>
                </a:lnTo>
                <a:lnTo>
                  <a:pt x="148018" y="70294"/>
                </a:lnTo>
                <a:lnTo>
                  <a:pt x="146494" y="73342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56"/>
                </a:lnTo>
                <a:lnTo>
                  <a:pt x="135826" y="10756"/>
                </a:lnTo>
                <a:lnTo>
                  <a:pt x="138874" y="12280"/>
                </a:lnTo>
                <a:lnTo>
                  <a:pt x="143446" y="13804"/>
                </a:lnTo>
                <a:lnTo>
                  <a:pt x="146494" y="16852"/>
                </a:lnTo>
                <a:lnTo>
                  <a:pt x="149542" y="23050"/>
                </a:lnTo>
                <a:lnTo>
                  <a:pt x="152590" y="27622"/>
                </a:lnTo>
                <a:lnTo>
                  <a:pt x="154114" y="35242"/>
                </a:lnTo>
                <a:lnTo>
                  <a:pt x="154114" y="8724"/>
                </a:lnTo>
                <a:lnTo>
                  <a:pt x="152590" y="7708"/>
                </a:lnTo>
                <a:lnTo>
                  <a:pt x="149542" y="4660"/>
                </a:lnTo>
                <a:lnTo>
                  <a:pt x="144970" y="1612"/>
                </a:lnTo>
                <a:lnTo>
                  <a:pt x="138874" y="1612"/>
                </a:lnTo>
                <a:lnTo>
                  <a:pt x="135826" y="88"/>
                </a:lnTo>
                <a:lnTo>
                  <a:pt x="91541" y="88"/>
                </a:lnTo>
                <a:lnTo>
                  <a:pt x="91541" y="90106"/>
                </a:lnTo>
                <a:lnTo>
                  <a:pt x="135826" y="90106"/>
                </a:lnTo>
                <a:lnTo>
                  <a:pt x="138874" y="88582"/>
                </a:lnTo>
                <a:lnTo>
                  <a:pt x="143446" y="88582"/>
                </a:lnTo>
                <a:lnTo>
                  <a:pt x="148018" y="87058"/>
                </a:lnTo>
                <a:lnTo>
                  <a:pt x="151066" y="84010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2674"/>
                </a:lnTo>
                <a:lnTo>
                  <a:pt x="166408" y="58102"/>
                </a:lnTo>
                <a:lnTo>
                  <a:pt x="167932" y="52006"/>
                </a:lnTo>
                <a:lnTo>
                  <a:pt x="167932" y="3676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315</xdr:row>
      <xdr:rowOff>-2</xdr:rowOff>
    </xdr:from>
    <xdr:ext cx="381000" cy="274320"/>
    <xdr:grpSp>
      <xdr:nvGrpSpPr>
        <xdr:cNvPr id="310" name="Group 310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GrpSpPr/>
      </xdr:nvGrpSpPr>
      <xdr:grpSpPr>
        <a:xfrm>
          <a:off x="5010150" y="110166148"/>
          <a:ext cx="381000" cy="274320"/>
          <a:chOff x="0" y="0"/>
          <a:chExt cx="381000" cy="274320"/>
        </a:xfrm>
      </xdr:grpSpPr>
      <xdr:sp macro="" textlink="">
        <xdr:nvSpPr>
          <xdr:cNvPr id="311" name="Shape 311">
            <a:extLst>
              <a:ext uri="{FF2B5EF4-FFF2-40B4-BE49-F238E27FC236}">
                <a16:creationId xmlns:a16="http://schemas.microsoft.com/office/drawing/2014/main" id="{00000000-0008-0000-0100-000037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12" name="Shape 312">
            <a:extLst>
              <a:ext uri="{FF2B5EF4-FFF2-40B4-BE49-F238E27FC236}">
                <a16:creationId xmlns:a16="http://schemas.microsoft.com/office/drawing/2014/main" id="{00000000-0008-0000-0100-000038010000}"/>
              </a:ext>
            </a:extLst>
          </xdr:cNvPr>
          <xdr:cNvSpPr/>
        </xdr:nvSpPr>
        <xdr:spPr>
          <a:xfrm>
            <a:off x="72669" y="80682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29044"/>
                </a:lnTo>
                <a:lnTo>
                  <a:pt x="163360" y="22948"/>
                </a:lnTo>
                <a:lnTo>
                  <a:pt x="161836" y="16852"/>
                </a:lnTo>
                <a:lnTo>
                  <a:pt x="157162" y="12280"/>
                </a:lnTo>
                <a:lnTo>
                  <a:pt x="155638" y="10756"/>
                </a:lnTo>
                <a:lnTo>
                  <a:pt x="154114" y="9232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2590" y="62572"/>
                </a:lnTo>
                <a:lnTo>
                  <a:pt x="151066" y="67246"/>
                </a:lnTo>
                <a:lnTo>
                  <a:pt x="148018" y="70294"/>
                </a:lnTo>
                <a:lnTo>
                  <a:pt x="146494" y="73342"/>
                </a:lnTo>
                <a:lnTo>
                  <a:pt x="143446" y="76390"/>
                </a:lnTo>
                <a:lnTo>
                  <a:pt x="140398" y="77914"/>
                </a:lnTo>
                <a:lnTo>
                  <a:pt x="137350" y="77914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56"/>
                </a:lnTo>
                <a:lnTo>
                  <a:pt x="135826" y="10756"/>
                </a:lnTo>
                <a:lnTo>
                  <a:pt x="138874" y="12280"/>
                </a:lnTo>
                <a:lnTo>
                  <a:pt x="143446" y="13804"/>
                </a:lnTo>
                <a:lnTo>
                  <a:pt x="152590" y="27520"/>
                </a:lnTo>
                <a:lnTo>
                  <a:pt x="154114" y="35140"/>
                </a:lnTo>
                <a:lnTo>
                  <a:pt x="154114" y="9232"/>
                </a:lnTo>
                <a:lnTo>
                  <a:pt x="149542" y="4660"/>
                </a:lnTo>
                <a:lnTo>
                  <a:pt x="144970" y="1612"/>
                </a:lnTo>
                <a:lnTo>
                  <a:pt x="138874" y="1612"/>
                </a:lnTo>
                <a:lnTo>
                  <a:pt x="135826" y="88"/>
                </a:lnTo>
                <a:lnTo>
                  <a:pt x="91541" y="88"/>
                </a:lnTo>
                <a:lnTo>
                  <a:pt x="91541" y="91630"/>
                </a:lnTo>
                <a:lnTo>
                  <a:pt x="129730" y="91630"/>
                </a:lnTo>
                <a:lnTo>
                  <a:pt x="135826" y="90106"/>
                </a:lnTo>
                <a:lnTo>
                  <a:pt x="138874" y="88582"/>
                </a:lnTo>
                <a:lnTo>
                  <a:pt x="143446" y="88582"/>
                </a:lnTo>
                <a:lnTo>
                  <a:pt x="148018" y="87058"/>
                </a:lnTo>
                <a:lnTo>
                  <a:pt x="151066" y="85534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2572"/>
                </a:lnTo>
                <a:lnTo>
                  <a:pt x="166408" y="58000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317</xdr:row>
      <xdr:rowOff>4</xdr:rowOff>
    </xdr:from>
    <xdr:ext cx="381000" cy="274320"/>
    <xdr:grpSp>
      <xdr:nvGrpSpPr>
        <xdr:cNvPr id="313" name="Group 313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GrpSpPr/>
      </xdr:nvGrpSpPr>
      <xdr:grpSpPr>
        <a:xfrm>
          <a:off x="5010150" y="110851954"/>
          <a:ext cx="381000" cy="274320"/>
          <a:chOff x="0" y="0"/>
          <a:chExt cx="381000" cy="274320"/>
        </a:xfrm>
      </xdr:grpSpPr>
      <xdr:sp macro="" textlink="">
        <xdr:nvSpPr>
          <xdr:cNvPr id="314" name="Shape 314">
            <a:extLst>
              <a:ext uri="{FF2B5EF4-FFF2-40B4-BE49-F238E27FC236}">
                <a16:creationId xmlns:a16="http://schemas.microsoft.com/office/drawing/2014/main" id="{00000000-0008-0000-0100-00003A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15" name="Shape 315">
            <a:extLst>
              <a:ext uri="{FF2B5EF4-FFF2-40B4-BE49-F238E27FC236}">
                <a16:creationId xmlns:a16="http://schemas.microsoft.com/office/drawing/2014/main" id="{00000000-0008-0000-0100-00003B010000}"/>
              </a:ext>
            </a:extLst>
          </xdr:cNvPr>
          <xdr:cNvSpPr/>
        </xdr:nvSpPr>
        <xdr:spPr>
          <a:xfrm>
            <a:off x="72669" y="80009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13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766"/>
                </a:moveTo>
                <a:lnTo>
                  <a:pt x="166408" y="29057"/>
                </a:lnTo>
                <a:lnTo>
                  <a:pt x="163360" y="22961"/>
                </a:lnTo>
                <a:lnTo>
                  <a:pt x="161836" y="16865"/>
                </a:lnTo>
                <a:lnTo>
                  <a:pt x="157162" y="12293"/>
                </a:lnTo>
                <a:lnTo>
                  <a:pt x="155638" y="10769"/>
                </a:lnTo>
                <a:lnTo>
                  <a:pt x="154114" y="9245"/>
                </a:lnTo>
                <a:lnTo>
                  <a:pt x="154114" y="35242"/>
                </a:lnTo>
                <a:lnTo>
                  <a:pt x="154114" y="58102"/>
                </a:lnTo>
                <a:lnTo>
                  <a:pt x="151066" y="67246"/>
                </a:lnTo>
                <a:lnTo>
                  <a:pt x="148018" y="71818"/>
                </a:lnTo>
                <a:lnTo>
                  <a:pt x="143446" y="76390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69"/>
                </a:lnTo>
                <a:lnTo>
                  <a:pt x="135826" y="10769"/>
                </a:lnTo>
                <a:lnTo>
                  <a:pt x="138874" y="12293"/>
                </a:lnTo>
                <a:lnTo>
                  <a:pt x="143446" y="13817"/>
                </a:lnTo>
                <a:lnTo>
                  <a:pt x="152590" y="27533"/>
                </a:lnTo>
                <a:lnTo>
                  <a:pt x="154114" y="35242"/>
                </a:lnTo>
                <a:lnTo>
                  <a:pt x="154114" y="9245"/>
                </a:lnTo>
                <a:lnTo>
                  <a:pt x="149542" y="4673"/>
                </a:lnTo>
                <a:lnTo>
                  <a:pt x="144970" y="3149"/>
                </a:lnTo>
                <a:lnTo>
                  <a:pt x="138874" y="1625"/>
                </a:lnTo>
                <a:lnTo>
                  <a:pt x="135826" y="101"/>
                </a:lnTo>
                <a:lnTo>
                  <a:pt x="91541" y="101"/>
                </a:lnTo>
                <a:lnTo>
                  <a:pt x="91541" y="91630"/>
                </a:lnTo>
                <a:lnTo>
                  <a:pt x="129730" y="91630"/>
                </a:lnTo>
                <a:lnTo>
                  <a:pt x="135826" y="90106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1066" y="85534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4884" y="64198"/>
                </a:lnTo>
                <a:lnTo>
                  <a:pt x="167932" y="52006"/>
                </a:lnTo>
                <a:lnTo>
                  <a:pt x="167932" y="3676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319</xdr:row>
      <xdr:rowOff>-4</xdr:rowOff>
    </xdr:from>
    <xdr:ext cx="381000" cy="274320"/>
    <xdr:grpSp>
      <xdr:nvGrpSpPr>
        <xdr:cNvPr id="316" name="Group 316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GrpSpPr/>
      </xdr:nvGrpSpPr>
      <xdr:grpSpPr>
        <a:xfrm>
          <a:off x="5010150" y="111528221"/>
          <a:ext cx="381000" cy="274320"/>
          <a:chOff x="0" y="0"/>
          <a:chExt cx="381000" cy="274320"/>
        </a:xfrm>
      </xdr:grpSpPr>
      <xdr:sp macro="" textlink="">
        <xdr:nvSpPr>
          <xdr:cNvPr id="317" name="Shape 317">
            <a:extLst>
              <a:ext uri="{FF2B5EF4-FFF2-40B4-BE49-F238E27FC236}">
                <a16:creationId xmlns:a16="http://schemas.microsoft.com/office/drawing/2014/main" id="{00000000-0008-0000-0100-00003D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18" name="Shape 318">
            <a:extLst>
              <a:ext uri="{FF2B5EF4-FFF2-40B4-BE49-F238E27FC236}">
                <a16:creationId xmlns:a16="http://schemas.microsoft.com/office/drawing/2014/main" id="{00000000-0008-0000-0100-00003E010000}"/>
              </a:ext>
            </a:extLst>
          </xdr:cNvPr>
          <xdr:cNvSpPr/>
        </xdr:nvSpPr>
        <xdr:spPr>
          <a:xfrm>
            <a:off x="72669" y="80962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29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13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6677"/>
                </a:moveTo>
                <a:lnTo>
                  <a:pt x="166408" y="30581"/>
                </a:lnTo>
                <a:lnTo>
                  <a:pt x="163360" y="24485"/>
                </a:lnTo>
                <a:lnTo>
                  <a:pt x="161836" y="16865"/>
                </a:lnTo>
                <a:lnTo>
                  <a:pt x="157162" y="12293"/>
                </a:lnTo>
                <a:lnTo>
                  <a:pt x="155638" y="10769"/>
                </a:lnTo>
                <a:lnTo>
                  <a:pt x="154114" y="9245"/>
                </a:lnTo>
                <a:lnTo>
                  <a:pt x="154114" y="35153"/>
                </a:lnTo>
                <a:lnTo>
                  <a:pt x="154114" y="58013"/>
                </a:lnTo>
                <a:lnTo>
                  <a:pt x="151066" y="67157"/>
                </a:lnTo>
                <a:lnTo>
                  <a:pt x="148018" y="71818"/>
                </a:lnTo>
                <a:lnTo>
                  <a:pt x="146494" y="74866"/>
                </a:lnTo>
                <a:lnTo>
                  <a:pt x="137350" y="79438"/>
                </a:lnTo>
                <a:lnTo>
                  <a:pt x="134302" y="79438"/>
                </a:lnTo>
                <a:lnTo>
                  <a:pt x="129730" y="80962"/>
                </a:lnTo>
                <a:lnTo>
                  <a:pt x="103822" y="80962"/>
                </a:lnTo>
                <a:lnTo>
                  <a:pt x="103822" y="10769"/>
                </a:lnTo>
                <a:lnTo>
                  <a:pt x="129730" y="10769"/>
                </a:lnTo>
                <a:lnTo>
                  <a:pt x="135826" y="12293"/>
                </a:lnTo>
                <a:lnTo>
                  <a:pt x="138874" y="12293"/>
                </a:lnTo>
                <a:lnTo>
                  <a:pt x="154114" y="35153"/>
                </a:lnTo>
                <a:lnTo>
                  <a:pt x="154114" y="9245"/>
                </a:lnTo>
                <a:lnTo>
                  <a:pt x="149542" y="4673"/>
                </a:lnTo>
                <a:lnTo>
                  <a:pt x="144970" y="3149"/>
                </a:lnTo>
                <a:lnTo>
                  <a:pt x="138874" y="1625"/>
                </a:lnTo>
                <a:lnTo>
                  <a:pt x="135826" y="101"/>
                </a:lnTo>
                <a:lnTo>
                  <a:pt x="91541" y="101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8018" y="87058"/>
                </a:lnTo>
                <a:lnTo>
                  <a:pt x="154114" y="84010"/>
                </a:lnTo>
                <a:lnTo>
                  <a:pt x="155638" y="80962"/>
                </a:lnTo>
                <a:lnTo>
                  <a:pt x="158788" y="76390"/>
                </a:lnTo>
                <a:lnTo>
                  <a:pt x="161836" y="73342"/>
                </a:lnTo>
                <a:lnTo>
                  <a:pt x="163360" y="68770"/>
                </a:lnTo>
                <a:lnTo>
                  <a:pt x="164884" y="64109"/>
                </a:lnTo>
                <a:lnTo>
                  <a:pt x="167932" y="51917"/>
                </a:lnTo>
                <a:lnTo>
                  <a:pt x="167932" y="36677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179831</xdr:colOff>
      <xdr:row>15</xdr:row>
      <xdr:rowOff>0</xdr:rowOff>
    </xdr:from>
    <xdr:ext cx="7426959" cy="548640"/>
    <xdr:grpSp>
      <xdr:nvGrpSpPr>
        <xdr:cNvPr id="319" name="Group 319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GrpSpPr/>
      </xdr:nvGrpSpPr>
      <xdr:grpSpPr>
        <a:xfrm>
          <a:off x="179831" y="4914900"/>
          <a:ext cx="7426959" cy="548640"/>
          <a:chOff x="0" y="0"/>
          <a:chExt cx="7426959" cy="548640"/>
        </a:xfrm>
      </xdr:grpSpPr>
      <xdr:sp macro="" textlink="">
        <xdr:nvSpPr>
          <xdr:cNvPr id="320" name="Shape 320">
            <a:extLst>
              <a:ext uri="{FF2B5EF4-FFF2-40B4-BE49-F238E27FC236}">
                <a16:creationId xmlns:a16="http://schemas.microsoft.com/office/drawing/2014/main" id="{00000000-0008-0000-0200-00004001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321" name="image4.png">
            <a:extLst>
              <a:ext uri="{FF2B5EF4-FFF2-40B4-BE49-F238E27FC236}">
                <a16:creationId xmlns:a16="http://schemas.microsoft.com/office/drawing/2014/main" id="{00000000-0008-0000-0200-00004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343"/>
            <a:ext cx="242696" cy="93059"/>
          </a:xfrm>
          <a:prstGeom prst="rect">
            <a:avLst/>
          </a:prstGeom>
        </xdr:spPr>
      </xdr:pic>
      <xdr:sp macro="" textlink="">
        <xdr:nvSpPr>
          <xdr:cNvPr id="322" name="Shape 322">
            <a:extLst>
              <a:ext uri="{FF2B5EF4-FFF2-40B4-BE49-F238E27FC236}">
                <a16:creationId xmlns:a16="http://schemas.microsoft.com/office/drawing/2014/main" id="{00000000-0008-0000-0200-00004201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323" name="Shape 323">
            <a:extLst>
              <a:ext uri="{FF2B5EF4-FFF2-40B4-BE49-F238E27FC236}">
                <a16:creationId xmlns:a16="http://schemas.microsoft.com/office/drawing/2014/main" id="{00000000-0008-0000-0200-000043010000}"/>
              </a:ext>
            </a:extLst>
          </xdr:cNvPr>
          <xdr:cNvSpPr/>
        </xdr:nvSpPr>
        <xdr:spPr>
          <a:xfrm>
            <a:off x="0" y="274319"/>
            <a:ext cx="4799330" cy="274320"/>
          </a:xfrm>
          <a:custGeom>
            <a:avLst/>
            <a:gdLst/>
            <a:ahLst/>
            <a:cxnLst/>
            <a:rect l="0" t="0" r="0" b="0"/>
            <a:pathLst>
              <a:path w="4799330" h="27432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274320"/>
                </a:lnTo>
                <a:lnTo>
                  <a:pt x="4799076" y="27432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3</xdr:col>
      <xdr:colOff>0</xdr:colOff>
      <xdr:row>1</xdr:row>
      <xdr:rowOff>0</xdr:rowOff>
    </xdr:from>
    <xdr:ext cx="381000" cy="274320"/>
    <xdr:grpSp>
      <xdr:nvGrpSpPr>
        <xdr:cNvPr id="324" name="Group 324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GrpSpPr/>
      </xdr:nvGrpSpPr>
      <xdr:grpSpPr>
        <a:xfrm>
          <a:off x="5010150" y="219075"/>
          <a:ext cx="381000" cy="274320"/>
          <a:chOff x="0" y="0"/>
          <a:chExt cx="381000" cy="274320"/>
        </a:xfrm>
      </xdr:grpSpPr>
      <xdr:sp macro="" textlink="">
        <xdr:nvSpPr>
          <xdr:cNvPr id="325" name="Shape 325">
            <a:extLst>
              <a:ext uri="{FF2B5EF4-FFF2-40B4-BE49-F238E27FC236}">
                <a16:creationId xmlns:a16="http://schemas.microsoft.com/office/drawing/2014/main" id="{00000000-0008-0000-0200-000045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26" name="Shape 326">
            <a:extLst>
              <a:ext uri="{FF2B5EF4-FFF2-40B4-BE49-F238E27FC236}">
                <a16:creationId xmlns:a16="http://schemas.microsoft.com/office/drawing/2014/main" id="{00000000-0008-0000-0200-000046010000}"/>
              </a:ext>
            </a:extLst>
          </xdr:cNvPr>
          <xdr:cNvSpPr/>
        </xdr:nvSpPr>
        <xdr:spPr>
          <a:xfrm>
            <a:off x="72669" y="80200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1435"/>
                </a:moveTo>
                <a:lnTo>
                  <a:pt x="59537" y="1435"/>
                </a:lnTo>
                <a:lnTo>
                  <a:pt x="59537" y="73152"/>
                </a:lnTo>
                <a:lnTo>
                  <a:pt x="12192" y="1435"/>
                </a:lnTo>
                <a:lnTo>
                  <a:pt x="0" y="1435"/>
                </a:lnTo>
                <a:lnTo>
                  <a:pt x="0" y="91541"/>
                </a:lnTo>
                <a:lnTo>
                  <a:pt x="12192" y="91541"/>
                </a:lnTo>
                <a:lnTo>
                  <a:pt x="12192" y="19812"/>
                </a:lnTo>
                <a:lnTo>
                  <a:pt x="59537" y="91541"/>
                </a:lnTo>
                <a:lnTo>
                  <a:pt x="71729" y="91541"/>
                </a:lnTo>
                <a:lnTo>
                  <a:pt x="71729" y="1435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30480"/>
                </a:lnTo>
                <a:lnTo>
                  <a:pt x="163360" y="24384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8013"/>
                </a:lnTo>
                <a:lnTo>
                  <a:pt x="151066" y="67157"/>
                </a:lnTo>
                <a:lnTo>
                  <a:pt x="148018" y="71729"/>
                </a:lnTo>
                <a:lnTo>
                  <a:pt x="146494" y="74777"/>
                </a:lnTo>
                <a:lnTo>
                  <a:pt x="137350" y="79349"/>
                </a:lnTo>
                <a:lnTo>
                  <a:pt x="134302" y="79349"/>
                </a:lnTo>
                <a:lnTo>
                  <a:pt x="129730" y="80873"/>
                </a:lnTo>
                <a:lnTo>
                  <a:pt x="103822" y="80873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219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41"/>
                </a:lnTo>
                <a:lnTo>
                  <a:pt x="135826" y="91541"/>
                </a:lnTo>
                <a:lnTo>
                  <a:pt x="138874" y="90017"/>
                </a:lnTo>
                <a:lnTo>
                  <a:pt x="148018" y="86969"/>
                </a:lnTo>
                <a:lnTo>
                  <a:pt x="154114" y="83921"/>
                </a:lnTo>
                <a:lnTo>
                  <a:pt x="155638" y="80873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4884" y="64109"/>
                </a:lnTo>
                <a:lnTo>
                  <a:pt x="167932" y="51917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3</xdr:row>
      <xdr:rowOff>0</xdr:rowOff>
    </xdr:from>
    <xdr:ext cx="381000" cy="274320"/>
    <xdr:grpSp>
      <xdr:nvGrpSpPr>
        <xdr:cNvPr id="327" name="Group 327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GrpSpPr/>
      </xdr:nvGrpSpPr>
      <xdr:grpSpPr>
        <a:xfrm>
          <a:off x="5010150" y="895350"/>
          <a:ext cx="381000" cy="274320"/>
          <a:chOff x="0" y="0"/>
          <a:chExt cx="381000" cy="274320"/>
        </a:xfrm>
      </xdr:grpSpPr>
      <xdr:sp macro="" textlink="">
        <xdr:nvSpPr>
          <xdr:cNvPr id="328" name="Shape 328">
            <a:extLst>
              <a:ext uri="{FF2B5EF4-FFF2-40B4-BE49-F238E27FC236}">
                <a16:creationId xmlns:a16="http://schemas.microsoft.com/office/drawing/2014/main" id="{00000000-0008-0000-0200-000048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19"/>
                </a:moveTo>
                <a:lnTo>
                  <a:pt x="0" y="274319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19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29" name="Shape 329">
            <a:extLst>
              <a:ext uri="{FF2B5EF4-FFF2-40B4-BE49-F238E27FC236}">
                <a16:creationId xmlns:a16="http://schemas.microsoft.com/office/drawing/2014/main" id="{00000000-0008-0000-0200-000049010000}"/>
              </a:ext>
            </a:extLst>
          </xdr:cNvPr>
          <xdr:cNvSpPr/>
        </xdr:nvSpPr>
        <xdr:spPr>
          <a:xfrm>
            <a:off x="72669" y="81063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0"/>
                </a:moveTo>
                <a:lnTo>
                  <a:pt x="59537" y="0"/>
                </a:lnTo>
                <a:lnTo>
                  <a:pt x="59537" y="71716"/>
                </a:lnTo>
                <a:lnTo>
                  <a:pt x="12192" y="0"/>
                </a:lnTo>
                <a:lnTo>
                  <a:pt x="0" y="0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0"/>
                </a:lnTo>
                <a:close/>
              </a:path>
              <a:path w="168275" h="92075">
                <a:moveTo>
                  <a:pt x="167932" y="38188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8376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6664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4302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3716"/>
                </a:lnTo>
                <a:lnTo>
                  <a:pt x="143446" y="15328"/>
                </a:lnTo>
                <a:lnTo>
                  <a:pt x="146494" y="18376"/>
                </a:lnTo>
                <a:lnTo>
                  <a:pt x="149542" y="22948"/>
                </a:lnTo>
                <a:lnTo>
                  <a:pt x="152590" y="29044"/>
                </a:lnTo>
                <a:lnTo>
                  <a:pt x="154114" y="36664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1524"/>
                </a:lnTo>
                <a:lnTo>
                  <a:pt x="131254" y="0"/>
                </a:lnTo>
                <a:lnTo>
                  <a:pt x="91541" y="0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3446" y="88582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7812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8188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5</xdr:row>
      <xdr:rowOff>0</xdr:rowOff>
    </xdr:from>
    <xdr:ext cx="381000" cy="274320"/>
    <xdr:grpSp>
      <xdr:nvGrpSpPr>
        <xdr:cNvPr id="330" name="Group 330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GrpSpPr/>
      </xdr:nvGrpSpPr>
      <xdr:grpSpPr>
        <a:xfrm>
          <a:off x="5010150" y="1581150"/>
          <a:ext cx="381000" cy="274320"/>
          <a:chOff x="0" y="0"/>
          <a:chExt cx="381000" cy="274320"/>
        </a:xfrm>
      </xdr:grpSpPr>
      <xdr:sp macro="" textlink="">
        <xdr:nvSpPr>
          <xdr:cNvPr id="331" name="Shape 331">
            <a:extLst>
              <a:ext uri="{FF2B5EF4-FFF2-40B4-BE49-F238E27FC236}">
                <a16:creationId xmlns:a16="http://schemas.microsoft.com/office/drawing/2014/main" id="{00000000-0008-0000-0200-00004B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32" name="Shape 332">
            <a:extLst>
              <a:ext uri="{FF2B5EF4-FFF2-40B4-BE49-F238E27FC236}">
                <a16:creationId xmlns:a16="http://schemas.microsoft.com/office/drawing/2014/main" id="{00000000-0008-0000-0200-00004C010000}"/>
              </a:ext>
            </a:extLst>
          </xdr:cNvPr>
          <xdr:cNvSpPr/>
        </xdr:nvSpPr>
        <xdr:spPr>
          <a:xfrm>
            <a:off x="72669" y="82016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0"/>
                </a:moveTo>
                <a:lnTo>
                  <a:pt x="59537" y="0"/>
                </a:lnTo>
                <a:lnTo>
                  <a:pt x="59537" y="70205"/>
                </a:lnTo>
                <a:lnTo>
                  <a:pt x="12192" y="0"/>
                </a:lnTo>
                <a:lnTo>
                  <a:pt x="0" y="0"/>
                </a:lnTo>
                <a:lnTo>
                  <a:pt x="0" y="90017"/>
                </a:lnTo>
                <a:lnTo>
                  <a:pt x="12192" y="90017"/>
                </a:lnTo>
                <a:lnTo>
                  <a:pt x="12192" y="18288"/>
                </a:lnTo>
                <a:lnTo>
                  <a:pt x="59537" y="90017"/>
                </a:lnTo>
                <a:lnTo>
                  <a:pt x="71729" y="90017"/>
                </a:lnTo>
                <a:lnTo>
                  <a:pt x="71729" y="0"/>
                </a:lnTo>
                <a:close/>
              </a:path>
              <a:path w="168275" h="90170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0668"/>
                </a:lnTo>
                <a:lnTo>
                  <a:pt x="154114" y="8636"/>
                </a:lnTo>
                <a:lnTo>
                  <a:pt x="154114" y="35052"/>
                </a:lnTo>
                <a:lnTo>
                  <a:pt x="154114" y="56476"/>
                </a:lnTo>
                <a:lnTo>
                  <a:pt x="152590" y="61048"/>
                </a:lnTo>
                <a:lnTo>
                  <a:pt x="151066" y="67144"/>
                </a:lnTo>
                <a:lnTo>
                  <a:pt x="148018" y="70192"/>
                </a:lnTo>
                <a:lnTo>
                  <a:pt x="146494" y="73240"/>
                </a:lnTo>
                <a:lnTo>
                  <a:pt x="134302" y="79336"/>
                </a:lnTo>
                <a:lnTo>
                  <a:pt x="103822" y="79336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46494" y="16764"/>
                </a:lnTo>
                <a:lnTo>
                  <a:pt x="149542" y="22860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8636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0"/>
                </a:lnTo>
                <a:lnTo>
                  <a:pt x="91541" y="0"/>
                </a:lnTo>
                <a:lnTo>
                  <a:pt x="91541" y="90017"/>
                </a:lnTo>
                <a:lnTo>
                  <a:pt x="135826" y="90017"/>
                </a:lnTo>
                <a:lnTo>
                  <a:pt x="138874" y="88480"/>
                </a:lnTo>
                <a:lnTo>
                  <a:pt x="148018" y="85432"/>
                </a:lnTo>
                <a:lnTo>
                  <a:pt x="154114" y="82384"/>
                </a:lnTo>
                <a:lnTo>
                  <a:pt x="155638" y="79336"/>
                </a:lnTo>
                <a:lnTo>
                  <a:pt x="158788" y="76288"/>
                </a:lnTo>
                <a:lnTo>
                  <a:pt x="161836" y="71716"/>
                </a:lnTo>
                <a:lnTo>
                  <a:pt x="163360" y="68668"/>
                </a:lnTo>
                <a:lnTo>
                  <a:pt x="164884" y="62572"/>
                </a:lnTo>
                <a:lnTo>
                  <a:pt x="166408" y="58000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7</xdr:row>
      <xdr:rowOff>0</xdr:rowOff>
    </xdr:from>
    <xdr:ext cx="381000" cy="276225"/>
    <xdr:grpSp>
      <xdr:nvGrpSpPr>
        <xdr:cNvPr id="333" name="Group 333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GrpSpPr/>
      </xdr:nvGrpSpPr>
      <xdr:grpSpPr>
        <a:xfrm>
          <a:off x="5010150" y="2257425"/>
          <a:ext cx="381000" cy="276225"/>
          <a:chOff x="0" y="0"/>
          <a:chExt cx="381000" cy="276225"/>
        </a:xfrm>
      </xdr:grpSpPr>
      <xdr:sp macro="" textlink="">
        <xdr:nvSpPr>
          <xdr:cNvPr id="334" name="Shape 334">
            <a:extLst>
              <a:ext uri="{FF2B5EF4-FFF2-40B4-BE49-F238E27FC236}">
                <a16:creationId xmlns:a16="http://schemas.microsoft.com/office/drawing/2014/main" id="{00000000-0008-0000-0200-00004E010000}"/>
              </a:ext>
            </a:extLst>
          </xdr:cNvPr>
          <xdr:cNvSpPr/>
        </xdr:nvSpPr>
        <xdr:spPr>
          <a:xfrm>
            <a:off x="0" y="0"/>
            <a:ext cx="381000" cy="276225"/>
          </a:xfrm>
          <a:custGeom>
            <a:avLst/>
            <a:gdLst/>
            <a:ahLst/>
            <a:cxnLst/>
            <a:rect l="0" t="0" r="0" b="0"/>
            <a:pathLst>
              <a:path w="381000" h="276225">
                <a:moveTo>
                  <a:pt x="381000" y="275844"/>
                </a:moveTo>
                <a:lnTo>
                  <a:pt x="0" y="275844"/>
                </a:lnTo>
                <a:lnTo>
                  <a:pt x="0" y="0"/>
                </a:lnTo>
                <a:lnTo>
                  <a:pt x="381000" y="0"/>
                </a:lnTo>
                <a:lnTo>
                  <a:pt x="381000" y="275844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35" name="Shape 335">
            <a:extLst>
              <a:ext uri="{FF2B5EF4-FFF2-40B4-BE49-F238E27FC236}">
                <a16:creationId xmlns:a16="http://schemas.microsoft.com/office/drawing/2014/main" id="{00000000-0008-0000-0200-00004F010000}"/>
              </a:ext>
            </a:extLst>
          </xdr:cNvPr>
          <xdr:cNvSpPr/>
        </xdr:nvSpPr>
        <xdr:spPr>
          <a:xfrm>
            <a:off x="72669" y="82778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88"/>
                </a:moveTo>
                <a:lnTo>
                  <a:pt x="59537" y="88"/>
                </a:lnTo>
                <a:lnTo>
                  <a:pt x="59537" y="71818"/>
                </a:lnTo>
                <a:lnTo>
                  <a:pt x="12192" y="88"/>
                </a:lnTo>
                <a:lnTo>
                  <a:pt x="0" y="88"/>
                </a:lnTo>
                <a:lnTo>
                  <a:pt x="0" y="90106"/>
                </a:lnTo>
                <a:lnTo>
                  <a:pt x="12192" y="90106"/>
                </a:lnTo>
                <a:lnTo>
                  <a:pt x="12192" y="18376"/>
                </a:lnTo>
                <a:lnTo>
                  <a:pt x="59537" y="90106"/>
                </a:lnTo>
                <a:lnTo>
                  <a:pt x="71729" y="90106"/>
                </a:lnTo>
                <a:lnTo>
                  <a:pt x="71729" y="88"/>
                </a:lnTo>
                <a:close/>
              </a:path>
              <a:path w="168275" h="90170">
                <a:moveTo>
                  <a:pt x="167932" y="36664"/>
                </a:moveTo>
                <a:lnTo>
                  <a:pt x="166408" y="29044"/>
                </a:lnTo>
                <a:lnTo>
                  <a:pt x="163360" y="22948"/>
                </a:lnTo>
                <a:lnTo>
                  <a:pt x="161836" y="16852"/>
                </a:lnTo>
                <a:lnTo>
                  <a:pt x="157162" y="10756"/>
                </a:lnTo>
                <a:lnTo>
                  <a:pt x="154114" y="8724"/>
                </a:lnTo>
                <a:lnTo>
                  <a:pt x="154114" y="35140"/>
                </a:lnTo>
                <a:lnTo>
                  <a:pt x="154114" y="56476"/>
                </a:lnTo>
                <a:lnTo>
                  <a:pt x="152590" y="62572"/>
                </a:lnTo>
                <a:lnTo>
                  <a:pt x="151066" y="67144"/>
                </a:lnTo>
                <a:lnTo>
                  <a:pt x="148018" y="70192"/>
                </a:lnTo>
                <a:lnTo>
                  <a:pt x="146494" y="73240"/>
                </a:lnTo>
                <a:lnTo>
                  <a:pt x="143446" y="74866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56"/>
                </a:lnTo>
                <a:lnTo>
                  <a:pt x="135826" y="10756"/>
                </a:lnTo>
                <a:lnTo>
                  <a:pt x="138874" y="12280"/>
                </a:lnTo>
                <a:lnTo>
                  <a:pt x="143446" y="13804"/>
                </a:lnTo>
                <a:lnTo>
                  <a:pt x="146494" y="16852"/>
                </a:lnTo>
                <a:lnTo>
                  <a:pt x="149542" y="22948"/>
                </a:lnTo>
                <a:lnTo>
                  <a:pt x="152590" y="27520"/>
                </a:lnTo>
                <a:lnTo>
                  <a:pt x="154114" y="35140"/>
                </a:lnTo>
                <a:lnTo>
                  <a:pt x="154114" y="8724"/>
                </a:lnTo>
                <a:lnTo>
                  <a:pt x="152590" y="7708"/>
                </a:lnTo>
                <a:lnTo>
                  <a:pt x="149542" y="4660"/>
                </a:lnTo>
                <a:lnTo>
                  <a:pt x="144970" y="1612"/>
                </a:lnTo>
                <a:lnTo>
                  <a:pt x="138874" y="1612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0106"/>
                </a:lnTo>
                <a:lnTo>
                  <a:pt x="135826" y="90106"/>
                </a:lnTo>
                <a:lnTo>
                  <a:pt x="138874" y="88582"/>
                </a:lnTo>
                <a:lnTo>
                  <a:pt x="143446" y="88582"/>
                </a:lnTo>
                <a:lnTo>
                  <a:pt x="148018" y="87058"/>
                </a:lnTo>
                <a:lnTo>
                  <a:pt x="151066" y="84010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3240"/>
                </a:lnTo>
                <a:lnTo>
                  <a:pt x="163360" y="68668"/>
                </a:lnTo>
                <a:lnTo>
                  <a:pt x="164884" y="62572"/>
                </a:lnTo>
                <a:lnTo>
                  <a:pt x="166408" y="58000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9</xdr:row>
      <xdr:rowOff>0</xdr:rowOff>
    </xdr:from>
    <xdr:ext cx="381000" cy="274320"/>
    <xdr:grpSp>
      <xdr:nvGrpSpPr>
        <xdr:cNvPr id="336" name="Group 336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GrpSpPr/>
      </xdr:nvGrpSpPr>
      <xdr:grpSpPr>
        <a:xfrm>
          <a:off x="5010150" y="2952750"/>
          <a:ext cx="381000" cy="274320"/>
          <a:chOff x="0" y="0"/>
          <a:chExt cx="381000" cy="274320"/>
        </a:xfrm>
      </xdr:grpSpPr>
      <xdr:sp macro="" textlink="">
        <xdr:nvSpPr>
          <xdr:cNvPr id="337" name="Shape 337">
            <a:extLst>
              <a:ext uri="{FF2B5EF4-FFF2-40B4-BE49-F238E27FC236}">
                <a16:creationId xmlns:a16="http://schemas.microsoft.com/office/drawing/2014/main" id="{00000000-0008-0000-0200-000051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38" name="Shape 338">
            <a:extLst>
              <a:ext uri="{FF2B5EF4-FFF2-40B4-BE49-F238E27FC236}">
                <a16:creationId xmlns:a16="http://schemas.microsoft.com/office/drawing/2014/main" id="{00000000-0008-0000-0200-000052010000}"/>
              </a:ext>
            </a:extLst>
          </xdr:cNvPr>
          <xdr:cNvSpPr/>
        </xdr:nvSpPr>
        <xdr:spPr>
          <a:xfrm>
            <a:off x="72669" y="8077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1435"/>
                </a:moveTo>
                <a:lnTo>
                  <a:pt x="59537" y="1435"/>
                </a:lnTo>
                <a:lnTo>
                  <a:pt x="59537" y="73152"/>
                </a:lnTo>
                <a:lnTo>
                  <a:pt x="12192" y="1435"/>
                </a:lnTo>
                <a:lnTo>
                  <a:pt x="0" y="1435"/>
                </a:lnTo>
                <a:lnTo>
                  <a:pt x="0" y="91541"/>
                </a:lnTo>
                <a:lnTo>
                  <a:pt x="12192" y="91541"/>
                </a:lnTo>
                <a:lnTo>
                  <a:pt x="12192" y="19812"/>
                </a:lnTo>
                <a:lnTo>
                  <a:pt x="59537" y="91541"/>
                </a:lnTo>
                <a:lnTo>
                  <a:pt x="71729" y="91541"/>
                </a:lnTo>
                <a:lnTo>
                  <a:pt x="71729" y="1435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7912"/>
                </a:lnTo>
                <a:lnTo>
                  <a:pt x="152590" y="62484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43446" y="76301"/>
                </a:lnTo>
                <a:lnTo>
                  <a:pt x="140398" y="77825"/>
                </a:lnTo>
                <a:lnTo>
                  <a:pt x="137350" y="77825"/>
                </a:lnTo>
                <a:lnTo>
                  <a:pt x="134302" y="79349"/>
                </a:lnTo>
                <a:lnTo>
                  <a:pt x="103822" y="79349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52590" y="2743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41"/>
                </a:lnTo>
                <a:lnTo>
                  <a:pt x="129730" y="91541"/>
                </a:lnTo>
                <a:lnTo>
                  <a:pt x="135826" y="90017"/>
                </a:lnTo>
                <a:lnTo>
                  <a:pt x="138874" y="88493"/>
                </a:lnTo>
                <a:lnTo>
                  <a:pt x="143446" y="88493"/>
                </a:lnTo>
                <a:lnTo>
                  <a:pt x="148018" y="86969"/>
                </a:lnTo>
                <a:lnTo>
                  <a:pt x="151066" y="85445"/>
                </a:lnTo>
                <a:lnTo>
                  <a:pt x="154114" y="82397"/>
                </a:lnTo>
                <a:lnTo>
                  <a:pt x="155638" y="79349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484"/>
                </a:lnTo>
                <a:lnTo>
                  <a:pt x="166408" y="57912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11</xdr:row>
      <xdr:rowOff>0</xdr:rowOff>
    </xdr:from>
    <xdr:ext cx="381000" cy="274320"/>
    <xdr:grpSp>
      <xdr:nvGrpSpPr>
        <xdr:cNvPr id="339" name="Group 339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GrpSpPr/>
      </xdr:nvGrpSpPr>
      <xdr:grpSpPr>
        <a:xfrm>
          <a:off x="5010150" y="3638550"/>
          <a:ext cx="381000" cy="274320"/>
          <a:chOff x="0" y="0"/>
          <a:chExt cx="381000" cy="274320"/>
        </a:xfrm>
      </xdr:grpSpPr>
      <xdr:sp macro="" textlink="">
        <xdr:nvSpPr>
          <xdr:cNvPr id="340" name="Shape 340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41" name="Shape 341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/>
        </xdr:nvSpPr>
        <xdr:spPr>
          <a:xfrm>
            <a:off x="72669" y="80111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1422"/>
                </a:moveTo>
                <a:lnTo>
                  <a:pt x="59537" y="1422"/>
                </a:lnTo>
                <a:lnTo>
                  <a:pt x="59537" y="73152"/>
                </a:lnTo>
                <a:lnTo>
                  <a:pt x="12192" y="1422"/>
                </a:lnTo>
                <a:lnTo>
                  <a:pt x="0" y="1422"/>
                </a:lnTo>
                <a:lnTo>
                  <a:pt x="0" y="91528"/>
                </a:lnTo>
                <a:lnTo>
                  <a:pt x="12192" y="91528"/>
                </a:lnTo>
                <a:lnTo>
                  <a:pt x="12192" y="19812"/>
                </a:lnTo>
                <a:lnTo>
                  <a:pt x="59537" y="91528"/>
                </a:lnTo>
                <a:lnTo>
                  <a:pt x="71729" y="91528"/>
                </a:lnTo>
                <a:lnTo>
                  <a:pt x="71729" y="1422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28956"/>
                </a:lnTo>
                <a:lnTo>
                  <a:pt x="163360" y="22860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3446" y="76288"/>
                </a:lnTo>
                <a:lnTo>
                  <a:pt x="137350" y="79336"/>
                </a:lnTo>
                <a:lnTo>
                  <a:pt x="134302" y="79336"/>
                </a:lnTo>
                <a:lnTo>
                  <a:pt x="129730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35826" y="10668"/>
                </a:lnTo>
                <a:lnTo>
                  <a:pt x="138874" y="12192"/>
                </a:lnTo>
                <a:lnTo>
                  <a:pt x="143446" y="13716"/>
                </a:lnTo>
                <a:lnTo>
                  <a:pt x="152590" y="27432"/>
                </a:lnTo>
                <a:lnTo>
                  <a:pt x="154114" y="35140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28"/>
                </a:lnTo>
                <a:lnTo>
                  <a:pt x="129730" y="91528"/>
                </a:lnTo>
                <a:lnTo>
                  <a:pt x="135826" y="90004"/>
                </a:lnTo>
                <a:lnTo>
                  <a:pt x="138874" y="90004"/>
                </a:lnTo>
                <a:lnTo>
                  <a:pt x="148018" y="86956"/>
                </a:lnTo>
                <a:lnTo>
                  <a:pt x="151066" y="85432"/>
                </a:lnTo>
                <a:lnTo>
                  <a:pt x="155638" y="80860"/>
                </a:lnTo>
                <a:lnTo>
                  <a:pt x="158788" y="76288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13</xdr:row>
      <xdr:rowOff>0</xdr:rowOff>
    </xdr:from>
    <xdr:ext cx="381000" cy="274320"/>
    <xdr:grpSp>
      <xdr:nvGrpSpPr>
        <xdr:cNvPr id="342" name="Group 342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GrpSpPr/>
      </xdr:nvGrpSpPr>
      <xdr:grpSpPr>
        <a:xfrm>
          <a:off x="5010150" y="4314825"/>
          <a:ext cx="381000" cy="274320"/>
          <a:chOff x="0" y="0"/>
          <a:chExt cx="381000" cy="274320"/>
        </a:xfrm>
      </xdr:grpSpPr>
      <xdr:sp macro="" textlink="">
        <xdr:nvSpPr>
          <xdr:cNvPr id="343" name="Shape 343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44" name="Shape 344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/>
        </xdr:nvSpPr>
        <xdr:spPr>
          <a:xfrm>
            <a:off x="72669" y="81064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1422"/>
                </a:moveTo>
                <a:lnTo>
                  <a:pt x="59537" y="1422"/>
                </a:lnTo>
                <a:lnTo>
                  <a:pt x="59537" y="73152"/>
                </a:lnTo>
                <a:lnTo>
                  <a:pt x="12192" y="1422"/>
                </a:lnTo>
                <a:lnTo>
                  <a:pt x="0" y="1422"/>
                </a:lnTo>
                <a:lnTo>
                  <a:pt x="0" y="91528"/>
                </a:lnTo>
                <a:lnTo>
                  <a:pt x="12192" y="91528"/>
                </a:lnTo>
                <a:lnTo>
                  <a:pt x="12192" y="19812"/>
                </a:lnTo>
                <a:lnTo>
                  <a:pt x="59537" y="91528"/>
                </a:lnTo>
                <a:lnTo>
                  <a:pt x="71729" y="91528"/>
                </a:lnTo>
                <a:lnTo>
                  <a:pt x="71729" y="1422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30480"/>
                </a:lnTo>
                <a:lnTo>
                  <a:pt x="163360" y="24384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7350" y="79336"/>
                </a:lnTo>
                <a:lnTo>
                  <a:pt x="134302" y="79336"/>
                </a:lnTo>
                <a:lnTo>
                  <a:pt x="129730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219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28"/>
                </a:lnTo>
                <a:lnTo>
                  <a:pt x="135826" y="91528"/>
                </a:lnTo>
                <a:lnTo>
                  <a:pt x="138874" y="90004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6288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0</xdr:col>
      <xdr:colOff>179831</xdr:colOff>
      <xdr:row>27</xdr:row>
      <xdr:rowOff>0</xdr:rowOff>
    </xdr:from>
    <xdr:ext cx="7426959" cy="548640"/>
    <xdr:grpSp>
      <xdr:nvGrpSpPr>
        <xdr:cNvPr id="345" name="Group 345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GrpSpPr/>
      </xdr:nvGrpSpPr>
      <xdr:grpSpPr>
        <a:xfrm>
          <a:off x="179831" y="11563350"/>
          <a:ext cx="7426959" cy="548640"/>
          <a:chOff x="0" y="0"/>
          <a:chExt cx="7426959" cy="548640"/>
        </a:xfrm>
      </xdr:grpSpPr>
      <xdr:sp macro="" textlink="">
        <xdr:nvSpPr>
          <xdr:cNvPr id="346" name="Shape 346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/>
        </xdr:nvSpPr>
        <xdr:spPr>
          <a:xfrm>
            <a:off x="0" y="0"/>
            <a:ext cx="5180330" cy="276225"/>
          </a:xfrm>
          <a:custGeom>
            <a:avLst/>
            <a:gdLst/>
            <a:ahLst/>
            <a:cxnLst/>
            <a:rect l="0" t="0" r="0" b="0"/>
            <a:pathLst>
              <a:path w="5180330" h="276225">
                <a:moveTo>
                  <a:pt x="5180076" y="0"/>
                </a:moveTo>
                <a:lnTo>
                  <a:pt x="5180076" y="0"/>
                </a:lnTo>
                <a:lnTo>
                  <a:pt x="0" y="0"/>
                </a:lnTo>
                <a:lnTo>
                  <a:pt x="0" y="275844"/>
                </a:lnTo>
                <a:lnTo>
                  <a:pt x="5180076" y="275844"/>
                </a:lnTo>
                <a:lnTo>
                  <a:pt x="5180076" y="0"/>
                </a:lnTo>
                <a:close/>
              </a:path>
            </a:pathLst>
          </a:custGeom>
          <a:solidFill>
            <a:srgbClr val="2880BA"/>
          </a:solidFill>
        </xdr:spPr>
      </xdr:sp>
      <xdr:pic>
        <xdr:nvPicPr>
          <xdr:cNvPr id="347" name="image5.png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1751" y="81438"/>
            <a:ext cx="242696" cy="92964"/>
          </a:xfrm>
          <a:prstGeom prst="rect">
            <a:avLst/>
          </a:prstGeom>
        </xdr:spPr>
      </xdr:pic>
      <xdr:sp macro="" textlink="">
        <xdr:nvSpPr>
          <xdr:cNvPr id="348" name="Shape 348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/>
        </xdr:nvSpPr>
        <xdr:spPr>
          <a:xfrm>
            <a:off x="5178539" y="0"/>
            <a:ext cx="2248535" cy="276225"/>
          </a:xfrm>
          <a:custGeom>
            <a:avLst/>
            <a:gdLst/>
            <a:ahLst/>
            <a:cxnLst/>
            <a:rect l="0" t="0" r="0" b="0"/>
            <a:pathLst>
              <a:path w="2248535" h="276225">
                <a:moveTo>
                  <a:pt x="2247912" y="0"/>
                </a:moveTo>
                <a:lnTo>
                  <a:pt x="1488960" y="0"/>
                </a:lnTo>
                <a:lnTo>
                  <a:pt x="801636" y="0"/>
                </a:lnTo>
                <a:lnTo>
                  <a:pt x="800100" y="0"/>
                </a:lnTo>
                <a:lnTo>
                  <a:pt x="0" y="0"/>
                </a:lnTo>
                <a:lnTo>
                  <a:pt x="0" y="275844"/>
                </a:lnTo>
                <a:lnTo>
                  <a:pt x="800100" y="275844"/>
                </a:lnTo>
                <a:lnTo>
                  <a:pt x="801636" y="275844"/>
                </a:lnTo>
                <a:lnTo>
                  <a:pt x="1488960" y="275844"/>
                </a:lnTo>
                <a:lnTo>
                  <a:pt x="2247912" y="275844"/>
                </a:lnTo>
                <a:lnTo>
                  <a:pt x="2247912" y="0"/>
                </a:lnTo>
                <a:close/>
              </a:path>
            </a:pathLst>
          </a:custGeom>
          <a:solidFill>
            <a:srgbClr val="2880BA"/>
          </a:solidFill>
        </xdr:spPr>
      </xdr:sp>
      <xdr:sp macro="" textlink="">
        <xdr:nvSpPr>
          <xdr:cNvPr id="349" name="Shape 349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/>
        </xdr:nvSpPr>
        <xdr:spPr>
          <a:xfrm>
            <a:off x="0" y="274319"/>
            <a:ext cx="4799330" cy="274320"/>
          </a:xfrm>
          <a:custGeom>
            <a:avLst/>
            <a:gdLst/>
            <a:ahLst/>
            <a:cxnLst/>
            <a:rect l="0" t="0" r="0" b="0"/>
            <a:pathLst>
              <a:path w="4799330" h="274320">
                <a:moveTo>
                  <a:pt x="4799076" y="0"/>
                </a:moveTo>
                <a:lnTo>
                  <a:pt x="4799076" y="0"/>
                </a:lnTo>
                <a:lnTo>
                  <a:pt x="0" y="0"/>
                </a:lnTo>
                <a:lnTo>
                  <a:pt x="0" y="274320"/>
                </a:lnTo>
                <a:lnTo>
                  <a:pt x="4799076" y="274320"/>
                </a:lnTo>
                <a:lnTo>
                  <a:pt x="4799076" y="0"/>
                </a:lnTo>
                <a:close/>
              </a:path>
            </a:pathLst>
          </a:custGeom>
          <a:solidFill>
            <a:srgbClr val="F4F4F4"/>
          </a:solidFill>
        </xdr:spPr>
      </xdr:sp>
    </xdr:grpSp>
    <xdr:clientData/>
  </xdr:oneCellAnchor>
  <xdr:oneCellAnchor>
    <xdr:from>
      <xdr:col>3</xdr:col>
      <xdr:colOff>0</xdr:colOff>
      <xdr:row>18</xdr:row>
      <xdr:rowOff>0</xdr:rowOff>
    </xdr:from>
    <xdr:ext cx="381000" cy="274320"/>
    <xdr:grpSp>
      <xdr:nvGrpSpPr>
        <xdr:cNvPr id="350" name="Group 350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GrpSpPr/>
      </xdr:nvGrpSpPr>
      <xdr:grpSpPr>
        <a:xfrm>
          <a:off x="5010150" y="8562975"/>
          <a:ext cx="381000" cy="274320"/>
          <a:chOff x="0" y="0"/>
          <a:chExt cx="381000" cy="274320"/>
        </a:xfrm>
      </xdr:grpSpPr>
      <xdr:sp macro="" textlink="">
        <xdr:nvSpPr>
          <xdr:cNvPr id="351" name="Shape 351">
            <a:extLst>
              <a:ext uri="{FF2B5EF4-FFF2-40B4-BE49-F238E27FC236}">
                <a16:creationId xmlns:a16="http://schemas.microsoft.com/office/drawing/2014/main" id="{00000000-0008-0000-0200-00005F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52" name="Shape 352">
            <a:extLst>
              <a:ext uri="{FF2B5EF4-FFF2-40B4-BE49-F238E27FC236}">
                <a16:creationId xmlns:a16="http://schemas.microsoft.com/office/drawing/2014/main" id="{00000000-0008-0000-0200-000060010000}"/>
              </a:ext>
            </a:extLst>
          </xdr:cNvPr>
          <xdr:cNvSpPr/>
        </xdr:nvSpPr>
        <xdr:spPr>
          <a:xfrm>
            <a:off x="72669" y="80200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1435"/>
                </a:moveTo>
                <a:lnTo>
                  <a:pt x="59537" y="1435"/>
                </a:lnTo>
                <a:lnTo>
                  <a:pt x="59537" y="73152"/>
                </a:lnTo>
                <a:lnTo>
                  <a:pt x="12192" y="1435"/>
                </a:lnTo>
                <a:lnTo>
                  <a:pt x="0" y="1435"/>
                </a:lnTo>
                <a:lnTo>
                  <a:pt x="0" y="91541"/>
                </a:lnTo>
                <a:lnTo>
                  <a:pt x="12192" y="91541"/>
                </a:lnTo>
                <a:lnTo>
                  <a:pt x="12192" y="19812"/>
                </a:lnTo>
                <a:lnTo>
                  <a:pt x="59537" y="91541"/>
                </a:lnTo>
                <a:lnTo>
                  <a:pt x="71729" y="91541"/>
                </a:lnTo>
                <a:lnTo>
                  <a:pt x="71729" y="1435"/>
                </a:lnTo>
                <a:close/>
              </a:path>
              <a:path w="168275" h="92075">
                <a:moveTo>
                  <a:pt x="167932" y="36576"/>
                </a:moveTo>
                <a:lnTo>
                  <a:pt x="166408" y="30480"/>
                </a:lnTo>
                <a:lnTo>
                  <a:pt x="163360" y="24384"/>
                </a:lnTo>
                <a:lnTo>
                  <a:pt x="161836" y="16764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5052"/>
                </a:lnTo>
                <a:lnTo>
                  <a:pt x="154114" y="57912"/>
                </a:lnTo>
                <a:lnTo>
                  <a:pt x="151066" y="67056"/>
                </a:lnTo>
                <a:lnTo>
                  <a:pt x="148018" y="71729"/>
                </a:lnTo>
                <a:lnTo>
                  <a:pt x="146494" y="74777"/>
                </a:lnTo>
                <a:lnTo>
                  <a:pt x="137350" y="79349"/>
                </a:lnTo>
                <a:lnTo>
                  <a:pt x="134302" y="79349"/>
                </a:lnTo>
                <a:lnTo>
                  <a:pt x="129730" y="80873"/>
                </a:lnTo>
                <a:lnTo>
                  <a:pt x="103822" y="80873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2192"/>
                </a:lnTo>
                <a:lnTo>
                  <a:pt x="154114" y="35052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541"/>
                </a:lnTo>
                <a:lnTo>
                  <a:pt x="135826" y="91541"/>
                </a:lnTo>
                <a:lnTo>
                  <a:pt x="138874" y="90017"/>
                </a:lnTo>
                <a:lnTo>
                  <a:pt x="148018" y="86969"/>
                </a:lnTo>
                <a:lnTo>
                  <a:pt x="154114" y="83921"/>
                </a:lnTo>
                <a:lnTo>
                  <a:pt x="155638" y="80873"/>
                </a:lnTo>
                <a:lnTo>
                  <a:pt x="158788" y="76301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4008"/>
                </a:lnTo>
                <a:lnTo>
                  <a:pt x="167932" y="51816"/>
                </a:lnTo>
                <a:lnTo>
                  <a:pt x="167932" y="36576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20</xdr:row>
      <xdr:rowOff>0</xdr:rowOff>
    </xdr:from>
    <xdr:ext cx="381000" cy="274320"/>
    <xdr:grpSp>
      <xdr:nvGrpSpPr>
        <xdr:cNvPr id="353" name="Group 353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GrpSpPr/>
      </xdr:nvGrpSpPr>
      <xdr:grpSpPr>
        <a:xfrm>
          <a:off x="5010150" y="9239250"/>
          <a:ext cx="381000" cy="274320"/>
          <a:chOff x="0" y="0"/>
          <a:chExt cx="381000" cy="274320"/>
        </a:xfrm>
      </xdr:grpSpPr>
      <xdr:sp macro="" textlink="">
        <xdr:nvSpPr>
          <xdr:cNvPr id="354" name="Shape 354">
            <a:extLst>
              <a:ext uri="{FF2B5EF4-FFF2-40B4-BE49-F238E27FC236}">
                <a16:creationId xmlns:a16="http://schemas.microsoft.com/office/drawing/2014/main" id="{00000000-0008-0000-0200-000062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19"/>
                </a:moveTo>
                <a:lnTo>
                  <a:pt x="0" y="274319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19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55" name="Shape 355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/>
        </xdr:nvSpPr>
        <xdr:spPr>
          <a:xfrm>
            <a:off x="72669" y="81063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1524"/>
                </a:moveTo>
                <a:lnTo>
                  <a:pt x="59537" y="1524"/>
                </a:lnTo>
                <a:lnTo>
                  <a:pt x="59537" y="73240"/>
                </a:lnTo>
                <a:lnTo>
                  <a:pt x="12192" y="1524"/>
                </a:lnTo>
                <a:lnTo>
                  <a:pt x="0" y="1524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1524"/>
                </a:lnTo>
                <a:close/>
              </a:path>
              <a:path w="168275" h="92075">
                <a:moveTo>
                  <a:pt x="167932" y="38188"/>
                </a:moveTo>
                <a:lnTo>
                  <a:pt x="166408" y="30568"/>
                </a:lnTo>
                <a:lnTo>
                  <a:pt x="163360" y="24472"/>
                </a:lnTo>
                <a:lnTo>
                  <a:pt x="161836" y="18376"/>
                </a:lnTo>
                <a:lnTo>
                  <a:pt x="157162" y="12192"/>
                </a:lnTo>
                <a:lnTo>
                  <a:pt x="155638" y="10668"/>
                </a:lnTo>
                <a:lnTo>
                  <a:pt x="154114" y="9144"/>
                </a:lnTo>
                <a:lnTo>
                  <a:pt x="154114" y="36664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1716"/>
                </a:lnTo>
                <a:lnTo>
                  <a:pt x="146494" y="74764"/>
                </a:lnTo>
                <a:lnTo>
                  <a:pt x="134302" y="80860"/>
                </a:lnTo>
                <a:lnTo>
                  <a:pt x="103822" y="80860"/>
                </a:lnTo>
                <a:lnTo>
                  <a:pt x="103822" y="10668"/>
                </a:lnTo>
                <a:lnTo>
                  <a:pt x="129730" y="10668"/>
                </a:lnTo>
                <a:lnTo>
                  <a:pt x="135826" y="12192"/>
                </a:lnTo>
                <a:lnTo>
                  <a:pt x="138874" y="13716"/>
                </a:lnTo>
                <a:lnTo>
                  <a:pt x="143446" y="15328"/>
                </a:lnTo>
                <a:lnTo>
                  <a:pt x="146494" y="18376"/>
                </a:lnTo>
                <a:lnTo>
                  <a:pt x="149542" y="22948"/>
                </a:lnTo>
                <a:lnTo>
                  <a:pt x="152590" y="29044"/>
                </a:lnTo>
                <a:lnTo>
                  <a:pt x="154114" y="36664"/>
                </a:lnTo>
                <a:lnTo>
                  <a:pt x="154114" y="9144"/>
                </a:lnTo>
                <a:lnTo>
                  <a:pt x="149542" y="4572"/>
                </a:lnTo>
                <a:lnTo>
                  <a:pt x="144970" y="3048"/>
                </a:lnTo>
                <a:lnTo>
                  <a:pt x="138874" y="1524"/>
                </a:lnTo>
                <a:lnTo>
                  <a:pt x="135826" y="1524"/>
                </a:lnTo>
                <a:lnTo>
                  <a:pt x="131254" y="0"/>
                </a:lnTo>
                <a:lnTo>
                  <a:pt x="91541" y="0"/>
                </a:lnTo>
                <a:lnTo>
                  <a:pt x="91541" y="91630"/>
                </a:lnTo>
                <a:lnTo>
                  <a:pt x="135826" y="91630"/>
                </a:lnTo>
                <a:lnTo>
                  <a:pt x="138874" y="90106"/>
                </a:lnTo>
                <a:lnTo>
                  <a:pt x="143446" y="88582"/>
                </a:lnTo>
                <a:lnTo>
                  <a:pt x="148018" y="86956"/>
                </a:lnTo>
                <a:lnTo>
                  <a:pt x="154114" y="83908"/>
                </a:lnTo>
                <a:lnTo>
                  <a:pt x="155638" y="80860"/>
                </a:lnTo>
                <a:lnTo>
                  <a:pt x="158788" y="77812"/>
                </a:lnTo>
                <a:lnTo>
                  <a:pt x="161836" y="73240"/>
                </a:lnTo>
                <a:lnTo>
                  <a:pt x="164884" y="64096"/>
                </a:lnTo>
                <a:lnTo>
                  <a:pt x="167932" y="51904"/>
                </a:lnTo>
                <a:lnTo>
                  <a:pt x="167932" y="38188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22</xdr:row>
      <xdr:rowOff>0</xdr:rowOff>
    </xdr:from>
    <xdr:ext cx="381000" cy="274320"/>
    <xdr:grpSp>
      <xdr:nvGrpSpPr>
        <xdr:cNvPr id="356" name="Group 356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GrpSpPr/>
      </xdr:nvGrpSpPr>
      <xdr:grpSpPr>
        <a:xfrm>
          <a:off x="5010150" y="9925050"/>
          <a:ext cx="381000" cy="274320"/>
          <a:chOff x="0" y="0"/>
          <a:chExt cx="381000" cy="274320"/>
        </a:xfrm>
      </xdr:grpSpPr>
      <xdr:sp macro="" textlink="">
        <xdr:nvSpPr>
          <xdr:cNvPr id="357" name="Shape 357">
            <a:extLst>
              <a:ext uri="{FF2B5EF4-FFF2-40B4-BE49-F238E27FC236}">
                <a16:creationId xmlns:a16="http://schemas.microsoft.com/office/drawing/2014/main" id="{00000000-0008-0000-0200-000065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58" name="Shape 358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/>
        </xdr:nvSpPr>
        <xdr:spPr>
          <a:xfrm>
            <a:off x="72669" y="81914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101"/>
                </a:moveTo>
                <a:lnTo>
                  <a:pt x="59537" y="101"/>
                </a:lnTo>
                <a:lnTo>
                  <a:pt x="59537" y="70307"/>
                </a:lnTo>
                <a:lnTo>
                  <a:pt x="12192" y="101"/>
                </a:lnTo>
                <a:lnTo>
                  <a:pt x="0" y="101"/>
                </a:lnTo>
                <a:lnTo>
                  <a:pt x="0" y="90119"/>
                </a:lnTo>
                <a:lnTo>
                  <a:pt x="12192" y="90119"/>
                </a:lnTo>
                <a:lnTo>
                  <a:pt x="12192" y="18389"/>
                </a:lnTo>
                <a:lnTo>
                  <a:pt x="59537" y="90119"/>
                </a:lnTo>
                <a:lnTo>
                  <a:pt x="71729" y="90119"/>
                </a:lnTo>
                <a:lnTo>
                  <a:pt x="71729" y="101"/>
                </a:lnTo>
                <a:close/>
              </a:path>
              <a:path w="168275" h="90170">
                <a:moveTo>
                  <a:pt x="167932" y="36677"/>
                </a:moveTo>
                <a:lnTo>
                  <a:pt x="166408" y="29057"/>
                </a:lnTo>
                <a:lnTo>
                  <a:pt x="163360" y="22961"/>
                </a:lnTo>
                <a:lnTo>
                  <a:pt x="161836" y="16865"/>
                </a:lnTo>
                <a:lnTo>
                  <a:pt x="157162" y="10769"/>
                </a:lnTo>
                <a:lnTo>
                  <a:pt x="154114" y="8737"/>
                </a:lnTo>
                <a:lnTo>
                  <a:pt x="154114" y="35153"/>
                </a:lnTo>
                <a:lnTo>
                  <a:pt x="154114" y="56489"/>
                </a:lnTo>
                <a:lnTo>
                  <a:pt x="152590" y="61061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43446" y="74866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69"/>
                </a:lnTo>
                <a:lnTo>
                  <a:pt x="135826" y="10769"/>
                </a:lnTo>
                <a:lnTo>
                  <a:pt x="138874" y="12293"/>
                </a:lnTo>
                <a:lnTo>
                  <a:pt x="143446" y="13817"/>
                </a:lnTo>
                <a:lnTo>
                  <a:pt x="146494" y="16865"/>
                </a:lnTo>
                <a:lnTo>
                  <a:pt x="149542" y="22961"/>
                </a:lnTo>
                <a:lnTo>
                  <a:pt x="152590" y="27533"/>
                </a:lnTo>
                <a:lnTo>
                  <a:pt x="154114" y="35153"/>
                </a:lnTo>
                <a:lnTo>
                  <a:pt x="154114" y="8737"/>
                </a:lnTo>
                <a:lnTo>
                  <a:pt x="152590" y="7721"/>
                </a:lnTo>
                <a:lnTo>
                  <a:pt x="149542" y="4673"/>
                </a:lnTo>
                <a:lnTo>
                  <a:pt x="144970" y="1625"/>
                </a:lnTo>
                <a:lnTo>
                  <a:pt x="138874" y="0"/>
                </a:lnTo>
                <a:lnTo>
                  <a:pt x="91541" y="0"/>
                </a:lnTo>
                <a:lnTo>
                  <a:pt x="91541" y="90119"/>
                </a:lnTo>
                <a:lnTo>
                  <a:pt x="135826" y="90119"/>
                </a:lnTo>
                <a:lnTo>
                  <a:pt x="138874" y="88582"/>
                </a:lnTo>
                <a:lnTo>
                  <a:pt x="148018" y="85534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1729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677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24</xdr:row>
      <xdr:rowOff>0</xdr:rowOff>
    </xdr:from>
    <xdr:ext cx="381000" cy="276225"/>
    <xdr:grpSp>
      <xdr:nvGrpSpPr>
        <xdr:cNvPr id="359" name="Group 359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GrpSpPr/>
      </xdr:nvGrpSpPr>
      <xdr:grpSpPr>
        <a:xfrm>
          <a:off x="5010150" y="10601325"/>
          <a:ext cx="381000" cy="276225"/>
          <a:chOff x="0" y="0"/>
          <a:chExt cx="381000" cy="276225"/>
        </a:xfrm>
      </xdr:grpSpPr>
      <xdr:sp macro="" textlink="">
        <xdr:nvSpPr>
          <xdr:cNvPr id="360" name="Shape 360">
            <a:extLst>
              <a:ext uri="{FF2B5EF4-FFF2-40B4-BE49-F238E27FC236}">
                <a16:creationId xmlns:a16="http://schemas.microsoft.com/office/drawing/2014/main" id="{00000000-0008-0000-0200-000068010000}"/>
              </a:ext>
            </a:extLst>
          </xdr:cNvPr>
          <xdr:cNvSpPr/>
        </xdr:nvSpPr>
        <xdr:spPr>
          <a:xfrm>
            <a:off x="0" y="0"/>
            <a:ext cx="381000" cy="276225"/>
          </a:xfrm>
          <a:custGeom>
            <a:avLst/>
            <a:gdLst/>
            <a:ahLst/>
            <a:cxnLst/>
            <a:rect l="0" t="0" r="0" b="0"/>
            <a:pathLst>
              <a:path w="381000" h="276225">
                <a:moveTo>
                  <a:pt x="381000" y="275844"/>
                </a:moveTo>
                <a:lnTo>
                  <a:pt x="0" y="275844"/>
                </a:lnTo>
                <a:lnTo>
                  <a:pt x="0" y="0"/>
                </a:lnTo>
                <a:lnTo>
                  <a:pt x="381000" y="0"/>
                </a:lnTo>
                <a:lnTo>
                  <a:pt x="381000" y="275844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61" name="Shape 361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/>
        </xdr:nvSpPr>
        <xdr:spPr>
          <a:xfrm>
            <a:off x="72669" y="82867"/>
            <a:ext cx="168275" cy="90170"/>
          </a:xfrm>
          <a:custGeom>
            <a:avLst/>
            <a:gdLst/>
            <a:ahLst/>
            <a:cxnLst/>
            <a:rect l="0" t="0" r="0" b="0"/>
            <a:pathLst>
              <a:path w="168275" h="90170">
                <a:moveTo>
                  <a:pt x="71729" y="101"/>
                </a:moveTo>
                <a:lnTo>
                  <a:pt x="59537" y="101"/>
                </a:lnTo>
                <a:lnTo>
                  <a:pt x="59537" y="71818"/>
                </a:lnTo>
                <a:lnTo>
                  <a:pt x="12192" y="101"/>
                </a:lnTo>
                <a:lnTo>
                  <a:pt x="0" y="101"/>
                </a:lnTo>
                <a:lnTo>
                  <a:pt x="0" y="90106"/>
                </a:lnTo>
                <a:lnTo>
                  <a:pt x="12192" y="90106"/>
                </a:lnTo>
                <a:lnTo>
                  <a:pt x="12192" y="18389"/>
                </a:lnTo>
                <a:lnTo>
                  <a:pt x="59537" y="90106"/>
                </a:lnTo>
                <a:lnTo>
                  <a:pt x="71729" y="90106"/>
                </a:lnTo>
                <a:lnTo>
                  <a:pt x="71729" y="101"/>
                </a:lnTo>
                <a:close/>
              </a:path>
              <a:path w="168275" h="90170">
                <a:moveTo>
                  <a:pt x="167932" y="36677"/>
                </a:moveTo>
                <a:lnTo>
                  <a:pt x="166408" y="29057"/>
                </a:lnTo>
                <a:lnTo>
                  <a:pt x="163360" y="22961"/>
                </a:lnTo>
                <a:lnTo>
                  <a:pt x="161836" y="16865"/>
                </a:lnTo>
                <a:lnTo>
                  <a:pt x="157162" y="10769"/>
                </a:lnTo>
                <a:lnTo>
                  <a:pt x="154114" y="8737"/>
                </a:lnTo>
                <a:lnTo>
                  <a:pt x="154114" y="35153"/>
                </a:lnTo>
                <a:lnTo>
                  <a:pt x="154114" y="56489"/>
                </a:lnTo>
                <a:lnTo>
                  <a:pt x="152590" y="62585"/>
                </a:lnTo>
                <a:lnTo>
                  <a:pt x="151066" y="67157"/>
                </a:lnTo>
                <a:lnTo>
                  <a:pt x="148018" y="70205"/>
                </a:lnTo>
                <a:lnTo>
                  <a:pt x="146494" y="73253"/>
                </a:lnTo>
                <a:lnTo>
                  <a:pt x="143446" y="74866"/>
                </a:lnTo>
                <a:lnTo>
                  <a:pt x="134302" y="79438"/>
                </a:lnTo>
                <a:lnTo>
                  <a:pt x="103822" y="79438"/>
                </a:lnTo>
                <a:lnTo>
                  <a:pt x="103822" y="10769"/>
                </a:lnTo>
                <a:lnTo>
                  <a:pt x="135826" y="10769"/>
                </a:lnTo>
                <a:lnTo>
                  <a:pt x="138874" y="12293"/>
                </a:lnTo>
                <a:lnTo>
                  <a:pt x="143446" y="13817"/>
                </a:lnTo>
                <a:lnTo>
                  <a:pt x="146494" y="16865"/>
                </a:lnTo>
                <a:lnTo>
                  <a:pt x="149542" y="22961"/>
                </a:lnTo>
                <a:lnTo>
                  <a:pt x="152590" y="27533"/>
                </a:lnTo>
                <a:lnTo>
                  <a:pt x="154114" y="35153"/>
                </a:lnTo>
                <a:lnTo>
                  <a:pt x="154114" y="8737"/>
                </a:lnTo>
                <a:lnTo>
                  <a:pt x="152590" y="7721"/>
                </a:lnTo>
                <a:lnTo>
                  <a:pt x="149542" y="4673"/>
                </a:lnTo>
                <a:lnTo>
                  <a:pt x="144970" y="1625"/>
                </a:lnTo>
                <a:lnTo>
                  <a:pt x="138874" y="1625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0106"/>
                </a:lnTo>
                <a:lnTo>
                  <a:pt x="135826" y="90106"/>
                </a:lnTo>
                <a:lnTo>
                  <a:pt x="138874" y="88582"/>
                </a:lnTo>
                <a:lnTo>
                  <a:pt x="143446" y="88582"/>
                </a:lnTo>
                <a:lnTo>
                  <a:pt x="148018" y="87058"/>
                </a:lnTo>
                <a:lnTo>
                  <a:pt x="151066" y="84010"/>
                </a:lnTo>
                <a:lnTo>
                  <a:pt x="154114" y="82486"/>
                </a:lnTo>
                <a:lnTo>
                  <a:pt x="155638" y="79438"/>
                </a:lnTo>
                <a:lnTo>
                  <a:pt x="158788" y="76390"/>
                </a:lnTo>
                <a:lnTo>
                  <a:pt x="161836" y="73253"/>
                </a:lnTo>
                <a:lnTo>
                  <a:pt x="163360" y="68681"/>
                </a:lnTo>
                <a:lnTo>
                  <a:pt x="164884" y="62585"/>
                </a:lnTo>
                <a:lnTo>
                  <a:pt x="166408" y="58013"/>
                </a:lnTo>
                <a:lnTo>
                  <a:pt x="167932" y="51917"/>
                </a:lnTo>
                <a:lnTo>
                  <a:pt x="167932" y="36677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3</xdr:col>
      <xdr:colOff>0</xdr:colOff>
      <xdr:row>26</xdr:row>
      <xdr:rowOff>0</xdr:rowOff>
    </xdr:from>
    <xdr:ext cx="381000" cy="274320"/>
    <xdr:grpSp>
      <xdr:nvGrpSpPr>
        <xdr:cNvPr id="362" name="Group 362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GrpSpPr/>
      </xdr:nvGrpSpPr>
      <xdr:grpSpPr>
        <a:xfrm>
          <a:off x="5010150" y="11296650"/>
          <a:ext cx="381000" cy="274320"/>
          <a:chOff x="0" y="0"/>
          <a:chExt cx="381000" cy="274320"/>
        </a:xfrm>
      </xdr:grpSpPr>
      <xdr:sp macro="" textlink="">
        <xdr:nvSpPr>
          <xdr:cNvPr id="363" name="Shape 363">
            <a:extLst>
              <a:ext uri="{FF2B5EF4-FFF2-40B4-BE49-F238E27FC236}">
                <a16:creationId xmlns:a16="http://schemas.microsoft.com/office/drawing/2014/main" id="{00000000-0008-0000-0200-00006B010000}"/>
              </a:ext>
            </a:extLst>
          </xdr:cNvPr>
          <xdr:cNvSpPr/>
        </xdr:nvSpPr>
        <xdr:spPr>
          <a:xfrm>
            <a:off x="0" y="0"/>
            <a:ext cx="381000" cy="274320"/>
          </a:xfrm>
          <a:custGeom>
            <a:avLst/>
            <a:gdLst/>
            <a:ahLst/>
            <a:cxnLst/>
            <a:rect l="0" t="0" r="0" b="0"/>
            <a:pathLst>
              <a:path w="381000" h="274320">
                <a:moveTo>
                  <a:pt x="381000" y="274320"/>
                </a:moveTo>
                <a:lnTo>
                  <a:pt x="0" y="274320"/>
                </a:lnTo>
                <a:lnTo>
                  <a:pt x="0" y="0"/>
                </a:lnTo>
                <a:lnTo>
                  <a:pt x="381000" y="0"/>
                </a:lnTo>
                <a:lnTo>
                  <a:pt x="381000" y="274320"/>
                </a:lnTo>
                <a:close/>
              </a:path>
            </a:pathLst>
          </a:custGeom>
          <a:solidFill>
            <a:srgbClr val="F4F4F4"/>
          </a:solidFill>
        </xdr:spPr>
      </xdr:sp>
      <xdr:sp macro="" textlink="">
        <xdr:nvSpPr>
          <xdr:cNvPr id="364" name="Shape 364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/>
        </xdr:nvSpPr>
        <xdr:spPr>
          <a:xfrm>
            <a:off x="72669" y="80682"/>
            <a:ext cx="168275" cy="92075"/>
          </a:xfrm>
          <a:custGeom>
            <a:avLst/>
            <a:gdLst/>
            <a:ahLst/>
            <a:cxnLst/>
            <a:rect l="0" t="0" r="0" b="0"/>
            <a:pathLst>
              <a:path w="168275" h="92075">
                <a:moveTo>
                  <a:pt x="71729" y="1524"/>
                </a:moveTo>
                <a:lnTo>
                  <a:pt x="59537" y="1524"/>
                </a:lnTo>
                <a:lnTo>
                  <a:pt x="59537" y="73240"/>
                </a:lnTo>
                <a:lnTo>
                  <a:pt x="12192" y="1524"/>
                </a:lnTo>
                <a:lnTo>
                  <a:pt x="0" y="1524"/>
                </a:lnTo>
                <a:lnTo>
                  <a:pt x="0" y="91630"/>
                </a:lnTo>
                <a:lnTo>
                  <a:pt x="12192" y="91630"/>
                </a:lnTo>
                <a:lnTo>
                  <a:pt x="12192" y="19900"/>
                </a:lnTo>
                <a:lnTo>
                  <a:pt x="59537" y="91630"/>
                </a:lnTo>
                <a:lnTo>
                  <a:pt x="71729" y="91630"/>
                </a:lnTo>
                <a:lnTo>
                  <a:pt x="71729" y="1524"/>
                </a:lnTo>
                <a:close/>
              </a:path>
              <a:path w="168275" h="92075">
                <a:moveTo>
                  <a:pt x="167932" y="36664"/>
                </a:moveTo>
                <a:lnTo>
                  <a:pt x="166408" y="29044"/>
                </a:lnTo>
                <a:lnTo>
                  <a:pt x="163360" y="22948"/>
                </a:lnTo>
                <a:lnTo>
                  <a:pt x="161836" y="16852"/>
                </a:lnTo>
                <a:lnTo>
                  <a:pt x="157162" y="12280"/>
                </a:lnTo>
                <a:lnTo>
                  <a:pt x="155663" y="10756"/>
                </a:lnTo>
                <a:lnTo>
                  <a:pt x="154114" y="9182"/>
                </a:lnTo>
                <a:lnTo>
                  <a:pt x="154114" y="35140"/>
                </a:lnTo>
                <a:lnTo>
                  <a:pt x="154114" y="58000"/>
                </a:lnTo>
                <a:lnTo>
                  <a:pt x="151066" y="67144"/>
                </a:lnTo>
                <a:lnTo>
                  <a:pt x="148018" y="70192"/>
                </a:lnTo>
                <a:lnTo>
                  <a:pt x="146494" y="73240"/>
                </a:lnTo>
                <a:lnTo>
                  <a:pt x="143446" y="76288"/>
                </a:lnTo>
                <a:lnTo>
                  <a:pt x="140398" y="77812"/>
                </a:lnTo>
                <a:lnTo>
                  <a:pt x="137350" y="77812"/>
                </a:lnTo>
                <a:lnTo>
                  <a:pt x="134302" y="79336"/>
                </a:lnTo>
                <a:lnTo>
                  <a:pt x="103822" y="79336"/>
                </a:lnTo>
                <a:lnTo>
                  <a:pt x="103822" y="10756"/>
                </a:lnTo>
                <a:lnTo>
                  <a:pt x="135826" y="10756"/>
                </a:lnTo>
                <a:lnTo>
                  <a:pt x="138874" y="12280"/>
                </a:lnTo>
                <a:lnTo>
                  <a:pt x="143446" y="13804"/>
                </a:lnTo>
                <a:lnTo>
                  <a:pt x="152590" y="27520"/>
                </a:lnTo>
                <a:lnTo>
                  <a:pt x="154114" y="35140"/>
                </a:lnTo>
                <a:lnTo>
                  <a:pt x="154114" y="9182"/>
                </a:lnTo>
                <a:lnTo>
                  <a:pt x="152590" y="7620"/>
                </a:lnTo>
                <a:lnTo>
                  <a:pt x="149542" y="4572"/>
                </a:lnTo>
                <a:lnTo>
                  <a:pt x="144970" y="1524"/>
                </a:lnTo>
                <a:lnTo>
                  <a:pt x="138874" y="1524"/>
                </a:lnTo>
                <a:lnTo>
                  <a:pt x="135826" y="0"/>
                </a:lnTo>
                <a:lnTo>
                  <a:pt x="91541" y="0"/>
                </a:lnTo>
                <a:lnTo>
                  <a:pt x="91541" y="91630"/>
                </a:lnTo>
                <a:lnTo>
                  <a:pt x="129730" y="91630"/>
                </a:lnTo>
                <a:lnTo>
                  <a:pt x="135826" y="90106"/>
                </a:lnTo>
                <a:lnTo>
                  <a:pt x="138874" y="88582"/>
                </a:lnTo>
                <a:lnTo>
                  <a:pt x="143446" y="88582"/>
                </a:lnTo>
                <a:lnTo>
                  <a:pt x="148018" y="87058"/>
                </a:lnTo>
                <a:lnTo>
                  <a:pt x="151066" y="85534"/>
                </a:lnTo>
                <a:lnTo>
                  <a:pt x="154114" y="82384"/>
                </a:lnTo>
                <a:lnTo>
                  <a:pt x="155638" y="79336"/>
                </a:lnTo>
                <a:lnTo>
                  <a:pt x="158788" y="76288"/>
                </a:lnTo>
                <a:lnTo>
                  <a:pt x="161836" y="73240"/>
                </a:lnTo>
                <a:lnTo>
                  <a:pt x="163360" y="68668"/>
                </a:lnTo>
                <a:lnTo>
                  <a:pt x="164884" y="62572"/>
                </a:lnTo>
                <a:lnTo>
                  <a:pt x="166408" y="58000"/>
                </a:lnTo>
                <a:lnTo>
                  <a:pt x="167932" y="51904"/>
                </a:lnTo>
                <a:lnTo>
                  <a:pt x="167932" y="36664"/>
                </a:lnTo>
                <a:close/>
              </a:path>
            </a:pathLst>
          </a:custGeom>
          <a:solidFill>
            <a:srgbClr val="505050"/>
          </a:solidFill>
        </xdr:spPr>
      </xdr:sp>
    </xdr:grpSp>
    <xdr:clientData/>
  </xdr:oneCellAnchor>
  <xdr:oneCellAnchor>
    <xdr:from>
      <xdr:col>0</xdr:col>
      <xdr:colOff>0</xdr:colOff>
      <xdr:row>16</xdr:row>
      <xdr:rowOff>0</xdr:rowOff>
    </xdr:from>
    <xdr:ext cx="7772400" cy="2877185"/>
    <xdr:grpSp>
      <xdr:nvGrpSpPr>
        <xdr:cNvPr id="365" name="Group 365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GrpSpPr/>
      </xdr:nvGrpSpPr>
      <xdr:grpSpPr>
        <a:xfrm>
          <a:off x="0" y="5467350"/>
          <a:ext cx="7772400" cy="2877185"/>
          <a:chOff x="0" y="0"/>
          <a:chExt cx="7772400" cy="2877185"/>
        </a:xfrm>
      </xdr:grpSpPr>
      <xdr:pic>
        <xdr:nvPicPr>
          <xdr:cNvPr id="366" name="image6.jpeg">
            <a:extLst>
              <a:ext uri="{FF2B5EF4-FFF2-40B4-BE49-F238E27FC236}">
                <a16:creationId xmlns:a16="http://schemas.microsoft.com/office/drawing/2014/main" id="{00000000-0008-0000-0200-00006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223541"/>
          </a:xfrm>
          <a:prstGeom prst="rect">
            <a:avLst/>
          </a:prstGeom>
        </xdr:spPr>
      </xdr:pic>
      <xdr:pic>
        <xdr:nvPicPr>
          <xdr:cNvPr id="367" name="image7.jpeg">
            <a:extLst>
              <a:ext uri="{FF2B5EF4-FFF2-40B4-BE49-F238E27FC236}">
                <a16:creationId xmlns:a16="http://schemas.microsoft.com/office/drawing/2014/main" id="{00000000-0008-0000-0200-00006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74317"/>
            <a:ext cx="7772400" cy="230276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238380</xdr:colOff>
      <xdr:row>28</xdr:row>
      <xdr:rowOff>0</xdr:rowOff>
    </xdr:from>
    <xdr:ext cx="7454265" cy="451484"/>
    <xdr:grpSp>
      <xdr:nvGrpSpPr>
        <xdr:cNvPr id="368" name="Group 368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GrpSpPr/>
      </xdr:nvGrpSpPr>
      <xdr:grpSpPr>
        <a:xfrm>
          <a:off x="238380" y="12115800"/>
          <a:ext cx="7454265" cy="451484"/>
          <a:chOff x="0" y="0"/>
          <a:chExt cx="7454265" cy="451484"/>
        </a:xfrm>
      </xdr:grpSpPr>
      <xdr:pic>
        <xdr:nvPicPr>
          <xdr:cNvPr id="369" name="image8.jpeg">
            <a:extLst>
              <a:ext uri="{FF2B5EF4-FFF2-40B4-BE49-F238E27FC236}">
                <a16:creationId xmlns:a16="http://schemas.microsoft.com/office/drawing/2014/main" id="{00000000-0008-0000-0200-00007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387994" cy="393700"/>
          </a:xfrm>
          <a:prstGeom prst="rect">
            <a:avLst/>
          </a:prstGeom>
        </xdr:spPr>
      </xdr:pic>
      <xdr:sp macro="" textlink="">
        <xdr:nvSpPr>
          <xdr:cNvPr id="370" name="Textbox 370">
            <a:extLst>
              <a:ext uri="{FF2B5EF4-FFF2-40B4-BE49-F238E27FC236}">
                <a16:creationId xmlns:a16="http://schemas.microsoft.com/office/drawing/2014/main" id="{00000000-0008-0000-0200-000072010000}"/>
              </a:ext>
            </a:extLst>
          </xdr:cNvPr>
          <xdr:cNvSpPr txBox="1"/>
        </xdr:nvSpPr>
        <xdr:spPr>
          <a:xfrm>
            <a:off x="0" y="0"/>
            <a:ext cx="7454265" cy="45148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1200" b="0" spc="-5">
                <a:latin typeface="Times New Roman"/>
                <a:cs typeface="Times New Roman"/>
              </a:rPr>
              <a:t>Pagina</a:t>
            </a:r>
            <a:r>
              <a:rPr sz="1200" b="0" spc="0">
                <a:latin typeface="Times New Roman"/>
                <a:cs typeface="Times New Roman"/>
              </a:rPr>
              <a:t>:</a:t>
            </a:r>
            <a:r>
              <a:rPr sz="1200" b="0" spc="60">
                <a:latin typeface="Times New Roman"/>
                <a:cs typeface="Times New Roman"/>
              </a:rPr>
              <a:t> </a:t>
            </a:r>
            <a:r>
              <a:rPr sz="1200" b="0" spc="0">
                <a:latin typeface="Times New Roman"/>
                <a:cs typeface="Times New Roman"/>
              </a:rPr>
              <a:t>24/24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5C92-B33A-4BA7-9B0B-C525D2A51998}">
  <dimension ref="A1:J333"/>
  <sheetViews>
    <sheetView tabSelected="1" workbookViewId="0">
      <selection sqref="A1:A1048576"/>
    </sheetView>
  </sheetViews>
  <sheetFormatPr baseColWidth="10" defaultRowHeight="12.75"/>
  <cols>
    <col min="1" max="1" width="18" style="38" bestFit="1" customWidth="1"/>
    <col min="2" max="2" width="55.33203125" bestFit="1" customWidth="1"/>
    <col min="3" max="3" width="12" style="33"/>
    <col min="5" max="5" width="13.33203125" style="35" bestFit="1" customWidth="1"/>
    <col min="6" max="6" width="12.6640625" style="35" bestFit="1" customWidth="1"/>
    <col min="7" max="7" width="12" style="35"/>
  </cols>
  <sheetData>
    <row r="1" spans="1:10">
      <c r="E1" s="35">
        <f>SUBTOTAL(9,E3,E4:E5000)</f>
        <v>-3186161.47</v>
      </c>
      <c r="F1" s="35">
        <f>SUBTOTAL(9,F3,F4:F5000)</f>
        <v>3301515.71</v>
      </c>
      <c r="I1" s="35">
        <v>590481.51</v>
      </c>
      <c r="J1" s="39">
        <f>I1+F1+E1</f>
        <v>705835.74999999953</v>
      </c>
    </row>
    <row r="2" spans="1:10">
      <c r="A2" s="37" t="s">
        <v>71</v>
      </c>
      <c r="B2" s="1" t="s">
        <v>72</v>
      </c>
      <c r="C2" s="32" t="s">
        <v>73</v>
      </c>
      <c r="D2" s="32" t="s">
        <v>125</v>
      </c>
      <c r="E2" s="36" t="s">
        <v>74</v>
      </c>
      <c r="F2" s="34" t="s">
        <v>75</v>
      </c>
      <c r="G2" s="34" t="s">
        <v>76</v>
      </c>
    </row>
    <row r="3" spans="1:10">
      <c r="A3" s="40" t="s">
        <v>81</v>
      </c>
      <c r="B3" s="40"/>
      <c r="C3" s="40"/>
      <c r="D3" s="40"/>
      <c r="E3" s="35">
        <v>0</v>
      </c>
      <c r="F3" s="35">
        <v>0</v>
      </c>
      <c r="G3" s="35">
        <v>590481.51</v>
      </c>
    </row>
    <row r="4" spans="1:10">
      <c r="A4" s="44">
        <v>120200001319</v>
      </c>
      <c r="B4" t="s">
        <v>82</v>
      </c>
      <c r="C4" s="33">
        <v>46113</v>
      </c>
      <c r="D4" t="s">
        <v>78</v>
      </c>
      <c r="E4" s="35">
        <v>-8</v>
      </c>
      <c r="F4" s="35">
        <v>0</v>
      </c>
      <c r="G4" s="35">
        <f>G3+E4+F4</f>
        <v>590473.51</v>
      </c>
    </row>
    <row r="5" spans="1:10">
      <c r="A5" s="44">
        <v>50956063930</v>
      </c>
      <c r="B5" t="s">
        <v>67</v>
      </c>
      <c r="C5" s="33">
        <v>46113</v>
      </c>
      <c r="D5" t="s">
        <v>65</v>
      </c>
      <c r="E5" s="35">
        <v>0</v>
      </c>
      <c r="F5" s="35">
        <v>23700</v>
      </c>
      <c r="G5" s="35">
        <f>G4+E5+F5</f>
        <v>614173.51</v>
      </c>
    </row>
    <row r="6" spans="1:10">
      <c r="A6" s="44">
        <v>27256063930</v>
      </c>
      <c r="B6" t="s">
        <v>66</v>
      </c>
      <c r="C6" s="33">
        <v>46113</v>
      </c>
      <c r="D6" t="s">
        <v>78</v>
      </c>
      <c r="E6" s="35">
        <v>-355.5</v>
      </c>
      <c r="F6" s="35">
        <v>0</v>
      </c>
      <c r="G6" s="35">
        <f>G5+E6+F6</f>
        <v>613818.01</v>
      </c>
    </row>
    <row r="7" spans="1:10">
      <c r="A7" s="44">
        <v>50956082516</v>
      </c>
      <c r="B7" t="s">
        <v>67</v>
      </c>
      <c r="C7" s="33">
        <v>46113</v>
      </c>
      <c r="D7" t="s">
        <v>65</v>
      </c>
      <c r="E7" s="35">
        <v>0</v>
      </c>
      <c r="F7" s="35">
        <v>28400</v>
      </c>
      <c r="G7" s="35">
        <f t="shared" ref="G7:G70" si="0">G6+E7+F7</f>
        <v>642218.01</v>
      </c>
    </row>
    <row r="8" spans="1:10">
      <c r="A8" s="44">
        <v>27256082516</v>
      </c>
      <c r="B8" t="s">
        <v>66</v>
      </c>
      <c r="C8" s="33">
        <v>46113</v>
      </c>
      <c r="D8" t="s">
        <v>78</v>
      </c>
      <c r="E8" s="35">
        <v>-426</v>
      </c>
      <c r="F8" s="35">
        <v>0</v>
      </c>
      <c r="G8" s="35">
        <f t="shared" si="0"/>
        <v>641792.01</v>
      </c>
    </row>
    <row r="9" spans="1:10">
      <c r="A9" s="44">
        <v>329273500884</v>
      </c>
      <c r="B9" t="s">
        <v>83</v>
      </c>
      <c r="C9" s="33">
        <v>46113</v>
      </c>
      <c r="D9" t="s">
        <v>78</v>
      </c>
      <c r="E9" s="35">
        <v>-300000</v>
      </c>
      <c r="F9" s="35">
        <v>0</v>
      </c>
      <c r="G9" s="35">
        <f t="shared" si="0"/>
        <v>341792.01</v>
      </c>
    </row>
    <row r="10" spans="1:10">
      <c r="A10" s="44">
        <v>676273500884</v>
      </c>
      <c r="B10" t="s">
        <v>63</v>
      </c>
      <c r="C10" s="33">
        <v>46113</v>
      </c>
      <c r="D10" t="s">
        <v>78</v>
      </c>
      <c r="E10" s="35">
        <v>-750</v>
      </c>
      <c r="F10" s="35">
        <v>0</v>
      </c>
      <c r="G10" s="35">
        <f t="shared" si="0"/>
        <v>341042.01</v>
      </c>
    </row>
    <row r="11" spans="1:10">
      <c r="A11" s="44">
        <v>677294830549</v>
      </c>
      <c r="B11" t="s">
        <v>68</v>
      </c>
      <c r="C11" s="33">
        <v>46113</v>
      </c>
      <c r="D11" t="s">
        <v>65</v>
      </c>
      <c r="E11" s="35">
        <v>0</v>
      </c>
      <c r="F11" s="35">
        <v>11373</v>
      </c>
      <c r="G11" s="35">
        <f t="shared" si="0"/>
        <v>352415.01</v>
      </c>
    </row>
    <row r="12" spans="1:10">
      <c r="A12" s="44">
        <v>210094830549</v>
      </c>
      <c r="B12" t="s">
        <v>69</v>
      </c>
      <c r="C12" s="33">
        <v>46113</v>
      </c>
      <c r="D12" t="s">
        <v>78</v>
      </c>
      <c r="E12" s="35">
        <v>-170.6</v>
      </c>
      <c r="F12" s="35">
        <v>0</v>
      </c>
      <c r="G12" s="35">
        <f t="shared" si="0"/>
        <v>352244.41000000003</v>
      </c>
    </row>
    <row r="13" spans="1:10">
      <c r="A13" s="44">
        <v>329273538340</v>
      </c>
      <c r="B13" t="s">
        <v>84</v>
      </c>
      <c r="C13" s="33">
        <v>46113</v>
      </c>
      <c r="D13" t="s">
        <v>78</v>
      </c>
      <c r="E13" s="35">
        <v>-200000</v>
      </c>
      <c r="F13" s="35">
        <v>0</v>
      </c>
      <c r="G13" s="35">
        <f t="shared" si="0"/>
        <v>152244.41000000003</v>
      </c>
    </row>
    <row r="14" spans="1:10">
      <c r="A14" s="44">
        <v>676273538340</v>
      </c>
      <c r="B14" t="s">
        <v>63</v>
      </c>
      <c r="C14" s="33">
        <v>46113</v>
      </c>
      <c r="D14" t="s">
        <v>78</v>
      </c>
      <c r="E14" s="35">
        <v>-500</v>
      </c>
      <c r="F14" s="35">
        <v>0</v>
      </c>
      <c r="G14" s="35">
        <f t="shared" si="0"/>
        <v>151744.41000000003</v>
      </c>
    </row>
    <row r="15" spans="1:10">
      <c r="A15" s="44">
        <v>50921972247</v>
      </c>
      <c r="B15" t="s">
        <v>70</v>
      </c>
      <c r="C15" s="33">
        <v>46113</v>
      </c>
      <c r="D15" t="s">
        <v>65</v>
      </c>
      <c r="E15" s="35">
        <v>0</v>
      </c>
      <c r="F15" s="35">
        <v>37913.410000000003</v>
      </c>
      <c r="G15" s="35">
        <f t="shared" si="0"/>
        <v>189657.82000000004</v>
      </c>
    </row>
    <row r="16" spans="1:10">
      <c r="A16" s="44">
        <v>27221972247</v>
      </c>
      <c r="B16" t="s">
        <v>66</v>
      </c>
      <c r="C16" s="33">
        <v>46113</v>
      </c>
      <c r="D16" t="s">
        <v>78</v>
      </c>
      <c r="E16" s="35">
        <v>-568.70000000000005</v>
      </c>
      <c r="F16" s="35">
        <v>0</v>
      </c>
      <c r="G16" s="35">
        <f t="shared" si="0"/>
        <v>189089.12000000002</v>
      </c>
    </row>
    <row r="17" spans="1:7">
      <c r="A17" s="44">
        <v>50956227018</v>
      </c>
      <c r="B17" t="s">
        <v>67</v>
      </c>
      <c r="C17" s="33">
        <v>46113</v>
      </c>
      <c r="D17" t="s">
        <v>65</v>
      </c>
      <c r="E17" s="35">
        <v>0</v>
      </c>
      <c r="F17" s="35">
        <v>28450</v>
      </c>
      <c r="G17" s="35">
        <f t="shared" si="0"/>
        <v>217539.12000000002</v>
      </c>
    </row>
    <row r="18" spans="1:7">
      <c r="A18" s="44">
        <v>27256227018</v>
      </c>
      <c r="B18" t="s">
        <v>66</v>
      </c>
      <c r="C18" s="33">
        <v>46113</v>
      </c>
      <c r="D18" t="s">
        <v>78</v>
      </c>
      <c r="E18" s="35">
        <v>-426.75</v>
      </c>
      <c r="F18" s="35">
        <v>0</v>
      </c>
      <c r="G18" s="35">
        <f t="shared" si="0"/>
        <v>217112.37000000002</v>
      </c>
    </row>
    <row r="19" spans="1:7">
      <c r="A19" s="44">
        <v>50956353677</v>
      </c>
      <c r="B19" t="s">
        <v>67</v>
      </c>
      <c r="C19" s="33">
        <v>46113</v>
      </c>
      <c r="D19" t="s">
        <v>65</v>
      </c>
      <c r="E19" s="35">
        <v>0</v>
      </c>
      <c r="F19" s="35">
        <v>18960</v>
      </c>
      <c r="G19" s="35">
        <f t="shared" si="0"/>
        <v>236072.37000000002</v>
      </c>
    </row>
    <row r="20" spans="1:7">
      <c r="A20" s="44">
        <v>27256353677</v>
      </c>
      <c r="B20" t="s">
        <v>66</v>
      </c>
      <c r="C20" s="33">
        <v>46113</v>
      </c>
      <c r="D20" t="s">
        <v>78</v>
      </c>
      <c r="E20" s="35">
        <v>-284.39999999999998</v>
      </c>
      <c r="F20" s="35">
        <v>0</v>
      </c>
      <c r="G20" s="35">
        <f t="shared" si="0"/>
        <v>235787.97000000003</v>
      </c>
    </row>
    <row r="21" spans="1:7">
      <c r="A21" s="44">
        <v>329273761811</v>
      </c>
      <c r="B21" t="s">
        <v>85</v>
      </c>
      <c r="C21" s="33">
        <v>46114</v>
      </c>
      <c r="D21" t="s">
        <v>78</v>
      </c>
      <c r="E21" s="35">
        <v>-20000</v>
      </c>
      <c r="F21" s="35">
        <v>0</v>
      </c>
      <c r="G21" s="35">
        <f t="shared" si="0"/>
        <v>215787.97000000003</v>
      </c>
    </row>
    <row r="22" spans="1:7">
      <c r="A22" s="44">
        <v>676273761811</v>
      </c>
      <c r="B22" t="s">
        <v>63</v>
      </c>
      <c r="C22" s="33">
        <v>46114</v>
      </c>
      <c r="D22" t="s">
        <v>78</v>
      </c>
      <c r="E22" s="35">
        <v>-50</v>
      </c>
      <c r="F22" s="35">
        <v>0</v>
      </c>
      <c r="G22" s="35">
        <f t="shared" si="0"/>
        <v>215737.97000000003</v>
      </c>
    </row>
    <row r="23" spans="1:7">
      <c r="A23" s="44">
        <v>677297686904</v>
      </c>
      <c r="B23" t="s">
        <v>86</v>
      </c>
      <c r="C23" s="33">
        <v>46114</v>
      </c>
      <c r="D23" t="s">
        <v>65</v>
      </c>
      <c r="E23" s="35">
        <v>0</v>
      </c>
      <c r="F23" s="35">
        <v>56887.18</v>
      </c>
      <c r="G23" s="35">
        <f t="shared" si="0"/>
        <v>272625.15000000002</v>
      </c>
    </row>
    <row r="24" spans="1:7">
      <c r="A24" s="44">
        <v>210097686904</v>
      </c>
      <c r="B24" t="s">
        <v>69</v>
      </c>
      <c r="C24" s="33">
        <v>46114</v>
      </c>
      <c r="D24" t="s">
        <v>78</v>
      </c>
      <c r="E24" s="35">
        <v>-853.31</v>
      </c>
      <c r="F24" s="35">
        <v>0</v>
      </c>
      <c r="G24" s="35">
        <f t="shared" si="0"/>
        <v>271771.84000000003</v>
      </c>
    </row>
    <row r="25" spans="1:7">
      <c r="A25" s="44">
        <v>329273776812</v>
      </c>
      <c r="B25" t="s">
        <v>87</v>
      </c>
      <c r="C25" s="33">
        <v>46114</v>
      </c>
      <c r="D25" t="s">
        <v>78</v>
      </c>
      <c r="E25" s="35">
        <v>-30000</v>
      </c>
      <c r="F25" s="35">
        <v>0</v>
      </c>
      <c r="G25" s="35">
        <f t="shared" si="0"/>
        <v>241771.84000000003</v>
      </c>
    </row>
    <row r="26" spans="1:7">
      <c r="A26" s="44">
        <v>676273776812</v>
      </c>
      <c r="B26" t="s">
        <v>63</v>
      </c>
      <c r="C26" s="33">
        <v>46114</v>
      </c>
      <c r="D26" t="s">
        <v>78</v>
      </c>
      <c r="E26" s="35">
        <v>-75</v>
      </c>
      <c r="F26" s="35">
        <v>0</v>
      </c>
      <c r="G26" s="35">
        <f t="shared" si="0"/>
        <v>241696.84000000003</v>
      </c>
    </row>
    <row r="27" spans="1:7">
      <c r="A27" s="44">
        <v>50956735297</v>
      </c>
      <c r="B27" t="s">
        <v>67</v>
      </c>
      <c r="C27" s="33">
        <v>46115</v>
      </c>
      <c r="D27" t="s">
        <v>65</v>
      </c>
      <c r="E27" s="35">
        <v>0</v>
      </c>
      <c r="F27" s="35">
        <v>23700</v>
      </c>
      <c r="G27" s="35">
        <f t="shared" si="0"/>
        <v>265396.84000000003</v>
      </c>
    </row>
    <row r="28" spans="1:7">
      <c r="A28" s="44">
        <v>27256735297</v>
      </c>
      <c r="B28" t="s">
        <v>66</v>
      </c>
      <c r="C28" s="33">
        <v>46115</v>
      </c>
      <c r="D28" t="s">
        <v>78</v>
      </c>
      <c r="E28" s="35">
        <v>-355.5</v>
      </c>
      <c r="F28" s="35">
        <v>0</v>
      </c>
      <c r="G28" s="35">
        <f t="shared" si="0"/>
        <v>265041.34000000003</v>
      </c>
    </row>
    <row r="29" spans="1:7">
      <c r="A29" s="44">
        <v>329273794071</v>
      </c>
      <c r="B29" t="s">
        <v>88</v>
      </c>
      <c r="C29" s="33">
        <v>46115</v>
      </c>
      <c r="D29" t="s">
        <v>78</v>
      </c>
      <c r="E29" s="35">
        <v>-40000</v>
      </c>
      <c r="F29" s="35">
        <v>0</v>
      </c>
      <c r="G29" s="35">
        <f t="shared" si="0"/>
        <v>225041.34000000003</v>
      </c>
    </row>
    <row r="30" spans="1:7">
      <c r="A30" s="44">
        <v>676273794071</v>
      </c>
      <c r="B30" t="s">
        <v>63</v>
      </c>
      <c r="C30" s="33">
        <v>46115</v>
      </c>
      <c r="D30" t="s">
        <v>78</v>
      </c>
      <c r="E30" s="35">
        <v>-100</v>
      </c>
      <c r="F30" s="35">
        <v>0</v>
      </c>
      <c r="G30" s="35">
        <f t="shared" si="0"/>
        <v>224941.34000000003</v>
      </c>
    </row>
    <row r="31" spans="1:7">
      <c r="A31" s="44">
        <v>677299080162</v>
      </c>
      <c r="C31" s="33">
        <v>46115</v>
      </c>
      <c r="D31" t="s">
        <v>65</v>
      </c>
      <c r="E31" s="35">
        <v>0</v>
      </c>
      <c r="F31" s="35">
        <v>18957</v>
      </c>
      <c r="G31" s="35">
        <f t="shared" si="0"/>
        <v>243898.34000000003</v>
      </c>
    </row>
    <row r="32" spans="1:7">
      <c r="A32" s="44">
        <v>210099080162</v>
      </c>
      <c r="B32" t="s">
        <v>69</v>
      </c>
      <c r="C32" s="33">
        <v>46115</v>
      </c>
      <c r="D32" t="s">
        <v>78</v>
      </c>
      <c r="E32" s="35">
        <v>-284.35000000000002</v>
      </c>
      <c r="F32" s="35">
        <v>0</v>
      </c>
      <c r="G32" s="35">
        <f t="shared" si="0"/>
        <v>243613.99000000002</v>
      </c>
    </row>
    <row r="33" spans="1:7">
      <c r="A33" s="44">
        <v>50923876312</v>
      </c>
      <c r="B33" t="s">
        <v>70</v>
      </c>
      <c r="C33" s="33">
        <v>46115</v>
      </c>
      <c r="D33" t="s">
        <v>65</v>
      </c>
      <c r="E33" s="35">
        <v>0</v>
      </c>
      <c r="F33" s="35">
        <v>56887.18</v>
      </c>
      <c r="G33" s="35">
        <f t="shared" si="0"/>
        <v>300501.17000000004</v>
      </c>
    </row>
    <row r="34" spans="1:7">
      <c r="A34" s="44">
        <v>27223876312</v>
      </c>
      <c r="B34" t="s">
        <v>66</v>
      </c>
      <c r="C34" s="33">
        <v>46115</v>
      </c>
      <c r="D34" t="s">
        <v>78</v>
      </c>
      <c r="E34" s="35">
        <v>-853.31</v>
      </c>
      <c r="F34" s="35">
        <v>0</v>
      </c>
      <c r="G34" s="35">
        <f t="shared" si="0"/>
        <v>299647.86000000004</v>
      </c>
    </row>
    <row r="35" spans="1:7">
      <c r="A35" s="44">
        <v>329273817099</v>
      </c>
      <c r="B35" t="s">
        <v>89</v>
      </c>
      <c r="C35" s="33">
        <v>46116</v>
      </c>
      <c r="D35" t="s">
        <v>78</v>
      </c>
      <c r="E35" s="35">
        <v>-19000</v>
      </c>
      <c r="F35" s="35">
        <v>0</v>
      </c>
      <c r="G35" s="35">
        <f t="shared" si="0"/>
        <v>280647.86000000004</v>
      </c>
    </row>
    <row r="36" spans="1:7">
      <c r="A36" s="44">
        <v>676273817099</v>
      </c>
      <c r="B36" t="s">
        <v>63</v>
      </c>
      <c r="C36" s="33">
        <v>46116</v>
      </c>
      <c r="D36" t="s">
        <v>78</v>
      </c>
      <c r="E36" s="35">
        <v>-47.5</v>
      </c>
      <c r="F36" s="35">
        <v>0</v>
      </c>
      <c r="G36" s="35">
        <f t="shared" si="0"/>
        <v>280600.36000000004</v>
      </c>
    </row>
    <row r="37" spans="1:7">
      <c r="A37" s="44">
        <v>50924704367</v>
      </c>
      <c r="B37" t="s">
        <v>70</v>
      </c>
      <c r="C37" s="33">
        <v>46116</v>
      </c>
      <c r="D37" t="s">
        <v>65</v>
      </c>
      <c r="E37" s="35">
        <v>0</v>
      </c>
      <c r="F37" s="35">
        <v>37924.78</v>
      </c>
      <c r="G37" s="35">
        <f t="shared" si="0"/>
        <v>318525.14</v>
      </c>
    </row>
    <row r="38" spans="1:7">
      <c r="A38" s="44">
        <v>27224704367</v>
      </c>
      <c r="B38" t="s">
        <v>66</v>
      </c>
      <c r="C38" s="33">
        <v>46116</v>
      </c>
      <c r="D38" t="s">
        <v>78</v>
      </c>
      <c r="E38" s="35">
        <v>-568.87</v>
      </c>
      <c r="F38" s="35">
        <v>0</v>
      </c>
      <c r="G38" s="35">
        <f t="shared" si="0"/>
        <v>317956.27</v>
      </c>
    </row>
    <row r="39" spans="1:7">
      <c r="A39" s="44">
        <v>50957031167</v>
      </c>
      <c r="B39" t="s">
        <v>64</v>
      </c>
      <c r="C39" s="33">
        <v>46117</v>
      </c>
      <c r="D39" t="s">
        <v>65</v>
      </c>
      <c r="E39" s="35">
        <v>0</v>
      </c>
      <c r="F39" s="35">
        <v>2000</v>
      </c>
      <c r="G39" s="35">
        <f t="shared" si="0"/>
        <v>319956.27</v>
      </c>
    </row>
    <row r="40" spans="1:7">
      <c r="A40" s="44">
        <v>27257031167</v>
      </c>
      <c r="B40" t="s">
        <v>66</v>
      </c>
      <c r="C40" s="33">
        <v>46117</v>
      </c>
      <c r="D40" t="s">
        <v>78</v>
      </c>
      <c r="E40" s="35">
        <v>-30</v>
      </c>
      <c r="F40" s="35">
        <v>0</v>
      </c>
      <c r="G40" s="35">
        <f t="shared" si="0"/>
        <v>319926.27</v>
      </c>
    </row>
    <row r="41" spans="1:7">
      <c r="A41" s="44">
        <v>677202799319</v>
      </c>
      <c r="B41" t="s">
        <v>68</v>
      </c>
      <c r="C41" s="33">
        <v>46117</v>
      </c>
      <c r="D41" t="s">
        <v>65</v>
      </c>
      <c r="E41" s="35">
        <v>0</v>
      </c>
      <c r="F41" s="35">
        <v>16588</v>
      </c>
      <c r="G41" s="35">
        <f t="shared" si="0"/>
        <v>336514.27</v>
      </c>
    </row>
    <row r="42" spans="1:7">
      <c r="A42" s="44">
        <v>210002799319</v>
      </c>
      <c r="B42" t="s">
        <v>69</v>
      </c>
      <c r="C42" s="33">
        <v>46117</v>
      </c>
      <c r="D42" t="s">
        <v>78</v>
      </c>
      <c r="E42" s="35">
        <v>-248.82</v>
      </c>
      <c r="F42" s="35">
        <v>0</v>
      </c>
      <c r="G42" s="35">
        <f t="shared" si="0"/>
        <v>336265.45</v>
      </c>
    </row>
    <row r="43" spans="1:7">
      <c r="A43" s="44">
        <v>329273881952</v>
      </c>
      <c r="B43" t="s">
        <v>90</v>
      </c>
      <c r="C43" s="33">
        <v>46118</v>
      </c>
      <c r="D43" t="s">
        <v>78</v>
      </c>
      <c r="E43" s="35">
        <v>-66000</v>
      </c>
      <c r="F43" s="35">
        <v>0</v>
      </c>
      <c r="G43" s="35">
        <f t="shared" si="0"/>
        <v>270265.45</v>
      </c>
    </row>
    <row r="44" spans="1:7">
      <c r="A44" s="44">
        <v>676273881952</v>
      </c>
      <c r="B44" t="s">
        <v>63</v>
      </c>
      <c r="C44" s="33">
        <v>46118</v>
      </c>
      <c r="D44" t="s">
        <v>78</v>
      </c>
      <c r="E44" s="35">
        <v>-165</v>
      </c>
      <c r="F44" s="35">
        <v>0</v>
      </c>
      <c r="G44" s="35">
        <f t="shared" si="0"/>
        <v>270100.45</v>
      </c>
    </row>
    <row r="45" spans="1:7">
      <c r="A45" s="44">
        <v>50957458007</v>
      </c>
      <c r="B45" t="s">
        <v>67</v>
      </c>
      <c r="C45" s="33">
        <v>46118</v>
      </c>
      <c r="D45" t="s">
        <v>65</v>
      </c>
      <c r="E45" s="35">
        <v>0</v>
      </c>
      <c r="F45" s="35">
        <v>2000</v>
      </c>
      <c r="G45" s="35">
        <f t="shared" si="0"/>
        <v>272100.45</v>
      </c>
    </row>
    <row r="46" spans="1:7">
      <c r="A46" s="44">
        <v>27257458007</v>
      </c>
      <c r="B46" t="s">
        <v>66</v>
      </c>
      <c r="C46" s="33">
        <v>46118</v>
      </c>
      <c r="D46" t="s">
        <v>78</v>
      </c>
      <c r="E46" s="35">
        <v>-30</v>
      </c>
      <c r="F46" s="35">
        <v>0</v>
      </c>
      <c r="G46" s="35">
        <f t="shared" si="0"/>
        <v>272070.45</v>
      </c>
    </row>
    <row r="47" spans="1:7">
      <c r="A47" s="44">
        <v>677203356177</v>
      </c>
      <c r="B47" t="s">
        <v>68</v>
      </c>
      <c r="C47" s="33">
        <v>46118</v>
      </c>
      <c r="D47" t="s">
        <v>65</v>
      </c>
      <c r="E47" s="35">
        <v>0</v>
      </c>
      <c r="F47" s="35">
        <v>37925</v>
      </c>
      <c r="G47" s="35">
        <f t="shared" si="0"/>
        <v>309995.45</v>
      </c>
    </row>
    <row r="48" spans="1:7">
      <c r="A48" s="44">
        <v>210003356177</v>
      </c>
      <c r="B48" t="s">
        <v>69</v>
      </c>
      <c r="C48" s="33">
        <v>46118</v>
      </c>
      <c r="D48" t="s">
        <v>78</v>
      </c>
      <c r="E48" s="35">
        <v>-568.88</v>
      </c>
      <c r="F48" s="35">
        <v>0</v>
      </c>
      <c r="G48" s="35">
        <f t="shared" si="0"/>
        <v>309426.57</v>
      </c>
    </row>
    <row r="49" spans="1:7">
      <c r="A49" s="44">
        <v>50957508771</v>
      </c>
      <c r="B49" t="s">
        <v>67</v>
      </c>
      <c r="C49" s="33">
        <v>46118</v>
      </c>
      <c r="D49" t="s">
        <v>65</v>
      </c>
      <c r="E49" s="35">
        <v>0</v>
      </c>
      <c r="F49" s="35">
        <v>10000</v>
      </c>
      <c r="G49" s="35">
        <f t="shared" si="0"/>
        <v>319426.57</v>
      </c>
    </row>
    <row r="50" spans="1:7">
      <c r="A50" s="44">
        <v>27257508771</v>
      </c>
      <c r="B50" t="s">
        <v>66</v>
      </c>
      <c r="C50" s="33">
        <v>46118</v>
      </c>
      <c r="D50" t="s">
        <v>78</v>
      </c>
      <c r="E50" s="35">
        <v>-150</v>
      </c>
      <c r="F50" s="35">
        <v>0</v>
      </c>
      <c r="G50" s="35">
        <f t="shared" si="0"/>
        <v>319276.57</v>
      </c>
    </row>
    <row r="51" spans="1:7">
      <c r="A51" s="44">
        <v>677203565078</v>
      </c>
      <c r="B51" t="s">
        <v>68</v>
      </c>
      <c r="C51" s="33">
        <v>46118</v>
      </c>
      <c r="D51" t="s">
        <v>65</v>
      </c>
      <c r="E51" s="35">
        <v>0</v>
      </c>
      <c r="F51" s="35">
        <v>23703</v>
      </c>
      <c r="G51" s="35">
        <f t="shared" si="0"/>
        <v>342979.57</v>
      </c>
    </row>
    <row r="52" spans="1:7">
      <c r="A52" s="44">
        <v>210003565078</v>
      </c>
      <c r="B52" t="s">
        <v>69</v>
      </c>
      <c r="C52" s="33">
        <v>46118</v>
      </c>
      <c r="D52" t="s">
        <v>78</v>
      </c>
      <c r="E52" s="35">
        <v>-355.54</v>
      </c>
      <c r="F52" s="35">
        <v>0</v>
      </c>
      <c r="G52" s="35">
        <f t="shared" si="0"/>
        <v>342624.03</v>
      </c>
    </row>
    <row r="53" spans="1:7">
      <c r="A53" s="44">
        <v>50957514970</v>
      </c>
      <c r="B53" t="s">
        <v>67</v>
      </c>
      <c r="C53" s="33">
        <v>46118</v>
      </c>
      <c r="D53" t="s">
        <v>65</v>
      </c>
      <c r="E53" s="35">
        <v>0</v>
      </c>
      <c r="F53" s="35">
        <v>28000</v>
      </c>
      <c r="G53" s="35">
        <f t="shared" si="0"/>
        <v>370624.03</v>
      </c>
    </row>
    <row r="54" spans="1:7">
      <c r="A54" s="44">
        <v>27257514970</v>
      </c>
      <c r="B54" t="s">
        <v>66</v>
      </c>
      <c r="C54" s="33">
        <v>46118</v>
      </c>
      <c r="D54" t="s">
        <v>78</v>
      </c>
      <c r="E54" s="35">
        <v>-420</v>
      </c>
      <c r="F54" s="35">
        <v>0</v>
      </c>
      <c r="G54" s="35">
        <f t="shared" si="0"/>
        <v>370204.03</v>
      </c>
    </row>
    <row r="55" spans="1:7">
      <c r="A55" s="44">
        <v>50957515786</v>
      </c>
      <c r="B55" t="s">
        <v>67</v>
      </c>
      <c r="C55" s="33">
        <v>46118</v>
      </c>
      <c r="D55" t="s">
        <v>65</v>
      </c>
      <c r="E55" s="35">
        <v>0</v>
      </c>
      <c r="F55" s="35">
        <v>37920</v>
      </c>
      <c r="G55" s="35">
        <f t="shared" si="0"/>
        <v>408124.03</v>
      </c>
    </row>
    <row r="56" spans="1:7">
      <c r="A56" s="44">
        <v>27257515786</v>
      </c>
      <c r="B56" t="s">
        <v>66</v>
      </c>
      <c r="C56" s="33">
        <v>46118</v>
      </c>
      <c r="D56" t="s">
        <v>78</v>
      </c>
      <c r="E56" s="35">
        <v>-568.79999999999995</v>
      </c>
      <c r="F56" s="35">
        <v>0</v>
      </c>
      <c r="G56" s="35">
        <f t="shared" si="0"/>
        <v>407555.23000000004</v>
      </c>
    </row>
    <row r="57" spans="1:7">
      <c r="A57" s="44">
        <v>329273917672</v>
      </c>
      <c r="B57" t="s">
        <v>91</v>
      </c>
      <c r="C57" s="33">
        <v>46118</v>
      </c>
      <c r="D57" t="s">
        <v>78</v>
      </c>
      <c r="E57" s="35">
        <v>-300000</v>
      </c>
      <c r="F57" s="35">
        <v>0</v>
      </c>
      <c r="G57" s="35">
        <f t="shared" si="0"/>
        <v>107555.23000000004</v>
      </c>
    </row>
    <row r="58" spans="1:7">
      <c r="A58" s="44">
        <v>676273917672</v>
      </c>
      <c r="B58" t="s">
        <v>63</v>
      </c>
      <c r="C58" s="33">
        <v>46118</v>
      </c>
      <c r="D58" t="s">
        <v>78</v>
      </c>
      <c r="E58" s="35">
        <v>-750</v>
      </c>
      <c r="F58" s="35">
        <v>0</v>
      </c>
      <c r="G58" s="35">
        <f t="shared" si="0"/>
        <v>106805.23000000004</v>
      </c>
    </row>
    <row r="59" spans="1:7">
      <c r="A59" s="44">
        <v>50969812966</v>
      </c>
      <c r="B59" t="s">
        <v>64</v>
      </c>
      <c r="C59" s="33">
        <v>46118</v>
      </c>
      <c r="D59" t="s">
        <v>65</v>
      </c>
      <c r="E59" s="35">
        <v>0</v>
      </c>
      <c r="F59" s="35">
        <v>90071.4</v>
      </c>
      <c r="G59" s="35">
        <f t="shared" si="0"/>
        <v>196876.63000000003</v>
      </c>
    </row>
    <row r="60" spans="1:7">
      <c r="A60" s="44">
        <v>27269812966</v>
      </c>
      <c r="B60" t="s">
        <v>66</v>
      </c>
      <c r="C60" s="33">
        <v>46118</v>
      </c>
      <c r="D60" t="s">
        <v>78</v>
      </c>
      <c r="E60" s="35">
        <v>-1351.07</v>
      </c>
      <c r="F60" s="35">
        <v>0</v>
      </c>
      <c r="G60" s="35">
        <f t="shared" si="0"/>
        <v>195525.56000000003</v>
      </c>
    </row>
    <row r="61" spans="1:7">
      <c r="A61" s="44">
        <v>50957531196</v>
      </c>
      <c r="B61" t="s">
        <v>67</v>
      </c>
      <c r="C61" s="33">
        <v>46118</v>
      </c>
      <c r="D61" t="s">
        <v>65</v>
      </c>
      <c r="E61" s="35">
        <v>0</v>
      </c>
      <c r="F61" s="35">
        <v>18900</v>
      </c>
      <c r="G61" s="35">
        <f t="shared" si="0"/>
        <v>214425.56000000003</v>
      </c>
    </row>
    <row r="62" spans="1:7">
      <c r="A62" s="44">
        <v>27257531196</v>
      </c>
      <c r="B62" t="s">
        <v>66</v>
      </c>
      <c r="C62" s="33">
        <v>46118</v>
      </c>
      <c r="D62" t="s">
        <v>78</v>
      </c>
      <c r="E62" s="35">
        <v>-283.5</v>
      </c>
      <c r="F62" s="35">
        <v>0</v>
      </c>
      <c r="G62" s="35">
        <f t="shared" si="0"/>
        <v>214142.06000000003</v>
      </c>
    </row>
    <row r="63" spans="1:7">
      <c r="A63" s="44">
        <v>677203688095</v>
      </c>
      <c r="B63" t="s">
        <v>86</v>
      </c>
      <c r="C63" s="33">
        <v>46118</v>
      </c>
      <c r="D63" t="s">
        <v>65</v>
      </c>
      <c r="E63" s="35">
        <v>0</v>
      </c>
      <c r="F63" s="35">
        <v>47405.98</v>
      </c>
      <c r="G63" s="35">
        <f t="shared" si="0"/>
        <v>261548.04000000004</v>
      </c>
    </row>
    <row r="64" spans="1:7">
      <c r="A64" s="44">
        <v>210003688095</v>
      </c>
      <c r="B64" t="s">
        <v>69</v>
      </c>
      <c r="C64" s="33">
        <v>46118</v>
      </c>
      <c r="D64" t="s">
        <v>78</v>
      </c>
      <c r="E64" s="35">
        <v>-711.09</v>
      </c>
      <c r="F64" s="35">
        <v>0</v>
      </c>
      <c r="G64" s="35">
        <f t="shared" si="0"/>
        <v>260836.95000000004</v>
      </c>
    </row>
    <row r="65" spans="1:7">
      <c r="A65" s="44">
        <v>677203766595</v>
      </c>
      <c r="B65" t="s">
        <v>68</v>
      </c>
      <c r="C65" s="33">
        <v>46118</v>
      </c>
      <c r="D65" t="s">
        <v>65</v>
      </c>
      <c r="E65" s="35">
        <v>0</v>
      </c>
      <c r="F65" s="35">
        <v>16593</v>
      </c>
      <c r="G65" s="35">
        <f t="shared" si="0"/>
        <v>277429.95000000007</v>
      </c>
    </row>
    <row r="66" spans="1:7">
      <c r="A66" s="44">
        <v>210003766595</v>
      </c>
      <c r="B66" t="s">
        <v>69</v>
      </c>
      <c r="C66" s="33">
        <v>46118</v>
      </c>
      <c r="D66" t="s">
        <v>78</v>
      </c>
      <c r="E66" s="35">
        <v>-248.89</v>
      </c>
      <c r="F66" s="35">
        <v>0</v>
      </c>
      <c r="G66" s="35">
        <f t="shared" si="0"/>
        <v>277181.06000000006</v>
      </c>
    </row>
    <row r="67" spans="1:7">
      <c r="A67" s="44">
        <v>50960511415</v>
      </c>
      <c r="B67" t="s">
        <v>64</v>
      </c>
      <c r="C67" s="33">
        <v>46118</v>
      </c>
      <c r="D67" t="s">
        <v>65</v>
      </c>
      <c r="E67" s="35">
        <v>0</v>
      </c>
      <c r="F67" s="35">
        <v>43139</v>
      </c>
      <c r="G67" s="35">
        <f t="shared" si="0"/>
        <v>320320.06000000006</v>
      </c>
    </row>
    <row r="68" spans="1:7">
      <c r="A68" s="44">
        <v>27260511415</v>
      </c>
      <c r="B68" t="s">
        <v>66</v>
      </c>
      <c r="C68" s="33">
        <v>46118</v>
      </c>
      <c r="D68" t="s">
        <v>78</v>
      </c>
      <c r="E68" s="35">
        <v>-647.08000000000004</v>
      </c>
      <c r="F68" s="35">
        <v>0</v>
      </c>
      <c r="G68" s="35">
        <f t="shared" si="0"/>
        <v>319672.98000000004</v>
      </c>
    </row>
    <row r="69" spans="1:7">
      <c r="A69" s="44">
        <v>329273943436</v>
      </c>
      <c r="B69" t="s">
        <v>92</v>
      </c>
      <c r="C69" s="33">
        <v>46118</v>
      </c>
      <c r="D69" t="s">
        <v>78</v>
      </c>
      <c r="E69" s="35">
        <v>-64000</v>
      </c>
      <c r="F69" s="35">
        <v>0</v>
      </c>
      <c r="G69" s="35">
        <f t="shared" si="0"/>
        <v>255672.98000000004</v>
      </c>
    </row>
    <row r="70" spans="1:7">
      <c r="A70" s="44">
        <v>676273943436</v>
      </c>
      <c r="B70" t="s">
        <v>63</v>
      </c>
      <c r="C70" s="33">
        <v>46118</v>
      </c>
      <c r="D70" t="s">
        <v>78</v>
      </c>
      <c r="E70" s="35">
        <v>-160</v>
      </c>
      <c r="F70" s="35">
        <v>0</v>
      </c>
      <c r="G70" s="35">
        <f t="shared" si="0"/>
        <v>255512.98000000004</v>
      </c>
    </row>
    <row r="71" spans="1:7">
      <c r="A71" s="44">
        <v>50926226997</v>
      </c>
      <c r="B71" t="s">
        <v>70</v>
      </c>
      <c r="C71" s="33">
        <v>46118</v>
      </c>
      <c r="D71" t="s">
        <v>65</v>
      </c>
      <c r="E71" s="35">
        <v>0</v>
      </c>
      <c r="F71" s="35">
        <v>28443.59</v>
      </c>
      <c r="G71" s="35">
        <f t="shared" ref="G71:G134" si="1">G70+E71+F71</f>
        <v>283956.57000000007</v>
      </c>
    </row>
    <row r="72" spans="1:7">
      <c r="A72" s="44">
        <v>27226226997</v>
      </c>
      <c r="B72" t="s">
        <v>66</v>
      </c>
      <c r="C72" s="33">
        <v>46118</v>
      </c>
      <c r="D72" t="s">
        <v>78</v>
      </c>
      <c r="E72" s="35">
        <v>-426.65</v>
      </c>
      <c r="F72" s="35">
        <v>0</v>
      </c>
      <c r="G72" s="35">
        <f t="shared" si="1"/>
        <v>283529.92000000004</v>
      </c>
    </row>
    <row r="73" spans="1:7">
      <c r="A73" s="44">
        <v>677204706516</v>
      </c>
      <c r="B73" t="s">
        <v>68</v>
      </c>
      <c r="C73" s="33">
        <v>46119</v>
      </c>
      <c r="D73" t="s">
        <v>65</v>
      </c>
      <c r="E73" s="35">
        <v>0</v>
      </c>
      <c r="F73" s="35">
        <v>14222</v>
      </c>
      <c r="G73" s="35">
        <f t="shared" si="1"/>
        <v>297751.92000000004</v>
      </c>
    </row>
    <row r="74" spans="1:7">
      <c r="A74" s="44">
        <v>210004706516</v>
      </c>
      <c r="B74" t="s">
        <v>69</v>
      </c>
      <c r="C74" s="33">
        <v>46119</v>
      </c>
      <c r="D74" t="s">
        <v>78</v>
      </c>
      <c r="E74" s="35">
        <v>-213.33</v>
      </c>
      <c r="F74" s="35">
        <v>0</v>
      </c>
      <c r="G74" s="35">
        <f t="shared" si="1"/>
        <v>297538.59000000003</v>
      </c>
    </row>
    <row r="75" spans="1:7">
      <c r="A75" s="44">
        <v>50957715074</v>
      </c>
      <c r="B75" t="s">
        <v>67</v>
      </c>
      <c r="C75" s="33">
        <v>46119</v>
      </c>
      <c r="D75" t="s">
        <v>65</v>
      </c>
      <c r="E75" s="35">
        <v>0</v>
      </c>
      <c r="F75" s="35">
        <v>9490</v>
      </c>
      <c r="G75" s="35">
        <f t="shared" si="1"/>
        <v>307028.59000000003</v>
      </c>
    </row>
    <row r="76" spans="1:7">
      <c r="A76" s="44">
        <v>27257715074</v>
      </c>
      <c r="B76" t="s">
        <v>66</v>
      </c>
      <c r="C76" s="33">
        <v>46119</v>
      </c>
      <c r="D76" t="s">
        <v>78</v>
      </c>
      <c r="E76" s="35">
        <v>-142.35</v>
      </c>
      <c r="F76" s="35">
        <v>0</v>
      </c>
      <c r="G76" s="35">
        <f t="shared" si="1"/>
        <v>306886.24000000005</v>
      </c>
    </row>
    <row r="77" spans="1:7">
      <c r="A77" s="44">
        <v>50958107613</v>
      </c>
      <c r="B77" t="s">
        <v>67</v>
      </c>
      <c r="C77" s="33">
        <v>46120</v>
      </c>
      <c r="D77" t="s">
        <v>65</v>
      </c>
      <c r="E77" s="35">
        <v>0</v>
      </c>
      <c r="F77" s="35">
        <v>23750</v>
      </c>
      <c r="G77" s="35">
        <f t="shared" si="1"/>
        <v>330636.24000000005</v>
      </c>
    </row>
    <row r="78" spans="1:7">
      <c r="A78" s="44">
        <v>27258107613</v>
      </c>
      <c r="B78" t="s">
        <v>66</v>
      </c>
      <c r="C78" s="33">
        <v>46120</v>
      </c>
      <c r="D78" t="s">
        <v>78</v>
      </c>
      <c r="E78" s="35">
        <v>-356.25</v>
      </c>
      <c r="F78" s="35">
        <v>0</v>
      </c>
      <c r="G78" s="35">
        <f t="shared" si="1"/>
        <v>330279.99000000005</v>
      </c>
    </row>
    <row r="79" spans="1:7">
      <c r="A79" s="44">
        <v>50985876900</v>
      </c>
      <c r="B79" t="s">
        <v>64</v>
      </c>
      <c r="C79" s="33">
        <v>46120</v>
      </c>
      <c r="D79" t="s">
        <v>65</v>
      </c>
      <c r="E79" s="35">
        <v>0</v>
      </c>
      <c r="F79" s="35">
        <v>9500</v>
      </c>
      <c r="G79" s="35">
        <f t="shared" si="1"/>
        <v>339779.99000000005</v>
      </c>
    </row>
    <row r="80" spans="1:7">
      <c r="A80" s="44">
        <v>27285876900</v>
      </c>
      <c r="B80" t="s">
        <v>66</v>
      </c>
      <c r="C80" s="33">
        <v>46120</v>
      </c>
      <c r="D80" t="s">
        <v>78</v>
      </c>
      <c r="E80" s="35">
        <v>-142.5</v>
      </c>
      <c r="F80" s="35">
        <v>0</v>
      </c>
      <c r="G80" s="35">
        <f t="shared" si="1"/>
        <v>339637.49000000005</v>
      </c>
    </row>
    <row r="81" spans="1:7">
      <c r="A81" s="44">
        <v>50927938164</v>
      </c>
      <c r="B81" t="s">
        <v>70</v>
      </c>
      <c r="C81" s="33">
        <v>46120</v>
      </c>
      <c r="D81" t="s">
        <v>65</v>
      </c>
      <c r="E81" s="35">
        <v>0</v>
      </c>
      <c r="F81" s="35">
        <v>23750.42</v>
      </c>
      <c r="G81" s="35">
        <f t="shared" si="1"/>
        <v>363387.91000000003</v>
      </c>
    </row>
    <row r="82" spans="1:7">
      <c r="A82" s="44">
        <v>27227938164</v>
      </c>
      <c r="B82" t="s">
        <v>66</v>
      </c>
      <c r="C82" s="33">
        <v>46120</v>
      </c>
      <c r="D82" t="s">
        <v>78</v>
      </c>
      <c r="E82" s="35">
        <v>-356.26</v>
      </c>
      <c r="F82" s="35">
        <v>0</v>
      </c>
      <c r="G82" s="35">
        <f t="shared" si="1"/>
        <v>363031.65</v>
      </c>
    </row>
    <row r="83" spans="1:7">
      <c r="A83" s="44">
        <v>677208413867</v>
      </c>
      <c r="B83" t="s">
        <v>68</v>
      </c>
      <c r="C83" s="33">
        <v>46121</v>
      </c>
      <c r="D83" t="s">
        <v>65</v>
      </c>
      <c r="E83" s="35">
        <v>0</v>
      </c>
      <c r="F83" s="35">
        <v>28558</v>
      </c>
      <c r="G83" s="35">
        <f t="shared" si="1"/>
        <v>391589.65</v>
      </c>
    </row>
    <row r="84" spans="1:7">
      <c r="A84" s="44">
        <v>210008413867</v>
      </c>
      <c r="B84" t="s">
        <v>69</v>
      </c>
      <c r="C84" s="33">
        <v>46121</v>
      </c>
      <c r="D84" t="s">
        <v>78</v>
      </c>
      <c r="E84" s="35">
        <v>-428.37</v>
      </c>
      <c r="F84" s="35">
        <v>0</v>
      </c>
      <c r="G84" s="35">
        <f t="shared" si="1"/>
        <v>391161.28</v>
      </c>
    </row>
    <row r="85" spans="1:7">
      <c r="A85" s="44">
        <v>677208435093</v>
      </c>
      <c r="B85" t="s">
        <v>86</v>
      </c>
      <c r="C85" s="33">
        <v>46121</v>
      </c>
      <c r="D85" t="s">
        <v>65</v>
      </c>
      <c r="E85" s="35">
        <v>0</v>
      </c>
      <c r="F85" s="35">
        <v>33317.08</v>
      </c>
      <c r="G85" s="35">
        <f t="shared" si="1"/>
        <v>424478.36000000004</v>
      </c>
    </row>
    <row r="86" spans="1:7">
      <c r="A86" s="44">
        <v>210008435093</v>
      </c>
      <c r="B86" t="s">
        <v>69</v>
      </c>
      <c r="C86" s="33">
        <v>46121</v>
      </c>
      <c r="D86" t="s">
        <v>78</v>
      </c>
      <c r="E86" s="35">
        <v>-499.76</v>
      </c>
      <c r="F86" s="35">
        <v>0</v>
      </c>
      <c r="G86" s="35">
        <f t="shared" si="1"/>
        <v>423978.60000000003</v>
      </c>
    </row>
    <row r="87" spans="1:7">
      <c r="A87" s="44">
        <v>677208629341</v>
      </c>
      <c r="B87" t="s">
        <v>68</v>
      </c>
      <c r="C87" s="33">
        <v>46121</v>
      </c>
      <c r="D87" t="s">
        <v>65</v>
      </c>
      <c r="E87" s="35">
        <v>0</v>
      </c>
      <c r="F87" s="35">
        <v>9520</v>
      </c>
      <c r="G87" s="35">
        <f t="shared" si="1"/>
        <v>433498.60000000003</v>
      </c>
    </row>
    <row r="88" spans="1:7">
      <c r="A88" s="44">
        <v>210008629341</v>
      </c>
      <c r="B88" t="s">
        <v>69</v>
      </c>
      <c r="C88" s="33">
        <v>46121</v>
      </c>
      <c r="D88" t="s">
        <v>78</v>
      </c>
      <c r="E88" s="35">
        <v>-142.80000000000001</v>
      </c>
      <c r="F88" s="35">
        <v>0</v>
      </c>
      <c r="G88" s="35">
        <f t="shared" si="1"/>
        <v>433355.80000000005</v>
      </c>
    </row>
    <row r="89" spans="1:7">
      <c r="A89" s="44">
        <v>50958360257</v>
      </c>
      <c r="B89" t="s">
        <v>67</v>
      </c>
      <c r="C89" s="33">
        <v>46121</v>
      </c>
      <c r="D89" t="s">
        <v>65</v>
      </c>
      <c r="E89" s="35">
        <v>0</v>
      </c>
      <c r="F89" s="35">
        <v>15000</v>
      </c>
      <c r="G89" s="35">
        <f t="shared" si="1"/>
        <v>448355.80000000005</v>
      </c>
    </row>
    <row r="90" spans="1:7">
      <c r="A90" s="44">
        <v>27258360257</v>
      </c>
      <c r="B90" t="s">
        <v>66</v>
      </c>
      <c r="C90" s="33">
        <v>46121</v>
      </c>
      <c r="D90" t="s">
        <v>78</v>
      </c>
      <c r="E90" s="35">
        <v>-225</v>
      </c>
      <c r="F90" s="35">
        <v>0</v>
      </c>
      <c r="G90" s="35">
        <f t="shared" si="1"/>
        <v>448130.80000000005</v>
      </c>
    </row>
    <row r="91" spans="1:7">
      <c r="A91" s="44">
        <v>329275002623</v>
      </c>
      <c r="B91" t="s">
        <v>93</v>
      </c>
      <c r="C91" s="33">
        <v>46121</v>
      </c>
      <c r="D91" t="s">
        <v>78</v>
      </c>
      <c r="E91" s="35">
        <v>-20000</v>
      </c>
      <c r="F91" s="35">
        <v>0</v>
      </c>
      <c r="G91" s="35">
        <f t="shared" si="1"/>
        <v>428130.80000000005</v>
      </c>
    </row>
    <row r="92" spans="1:7">
      <c r="A92" s="44">
        <v>676275002623</v>
      </c>
      <c r="B92" t="s">
        <v>63</v>
      </c>
      <c r="C92" s="33">
        <v>46121</v>
      </c>
      <c r="D92" t="s">
        <v>78</v>
      </c>
      <c r="E92" s="35">
        <v>-50</v>
      </c>
      <c r="F92" s="35">
        <v>0</v>
      </c>
      <c r="G92" s="35">
        <f t="shared" si="1"/>
        <v>428080.80000000005</v>
      </c>
    </row>
    <row r="93" spans="1:7">
      <c r="A93" s="44">
        <v>329275031270</v>
      </c>
      <c r="B93" t="s">
        <v>94</v>
      </c>
      <c r="C93" s="33">
        <v>46122</v>
      </c>
      <c r="D93" t="s">
        <v>78</v>
      </c>
      <c r="E93" s="35">
        <v>-20000</v>
      </c>
      <c r="F93" s="35">
        <v>0</v>
      </c>
      <c r="G93" s="35">
        <f t="shared" si="1"/>
        <v>408080.80000000005</v>
      </c>
    </row>
    <row r="94" spans="1:7">
      <c r="A94" s="44">
        <v>676275031270</v>
      </c>
      <c r="B94" t="s">
        <v>63</v>
      </c>
      <c r="C94" s="33">
        <v>46122</v>
      </c>
      <c r="D94" t="s">
        <v>78</v>
      </c>
      <c r="E94" s="35">
        <v>-50</v>
      </c>
      <c r="F94" s="35">
        <v>0</v>
      </c>
      <c r="G94" s="35">
        <f t="shared" si="1"/>
        <v>408030.80000000005</v>
      </c>
    </row>
    <row r="95" spans="1:7">
      <c r="A95" s="44">
        <v>329275062690</v>
      </c>
      <c r="B95" t="s">
        <v>95</v>
      </c>
      <c r="C95" s="33">
        <v>46122</v>
      </c>
      <c r="D95" t="s">
        <v>78</v>
      </c>
      <c r="E95" s="35">
        <v>-100000</v>
      </c>
      <c r="F95" s="35">
        <v>0</v>
      </c>
      <c r="G95" s="35">
        <f t="shared" si="1"/>
        <v>308030.80000000005</v>
      </c>
    </row>
    <row r="96" spans="1:7">
      <c r="A96" s="44">
        <v>676275062690</v>
      </c>
      <c r="B96" t="s">
        <v>63</v>
      </c>
      <c r="C96" s="33">
        <v>46122</v>
      </c>
      <c r="D96" t="s">
        <v>78</v>
      </c>
      <c r="E96" s="35">
        <v>-250</v>
      </c>
      <c r="F96" s="35">
        <v>0</v>
      </c>
      <c r="G96" s="35">
        <f t="shared" si="1"/>
        <v>307780.80000000005</v>
      </c>
    </row>
    <row r="97" spans="1:7">
      <c r="A97" s="44">
        <v>50958673367</v>
      </c>
      <c r="B97" t="s">
        <v>67</v>
      </c>
      <c r="C97" s="33">
        <v>46122</v>
      </c>
      <c r="D97" t="s">
        <v>65</v>
      </c>
      <c r="E97" s="35">
        <v>0</v>
      </c>
      <c r="F97" s="35">
        <v>47650</v>
      </c>
      <c r="G97" s="35">
        <f t="shared" si="1"/>
        <v>355430.80000000005</v>
      </c>
    </row>
    <row r="98" spans="1:7">
      <c r="A98" s="44">
        <v>27258673367</v>
      </c>
      <c r="B98" t="s">
        <v>66</v>
      </c>
      <c r="C98" s="33">
        <v>46122</v>
      </c>
      <c r="D98" t="s">
        <v>78</v>
      </c>
      <c r="E98" s="35">
        <v>-714.75</v>
      </c>
      <c r="F98" s="35">
        <v>0</v>
      </c>
      <c r="G98" s="35">
        <f t="shared" si="1"/>
        <v>354716.05000000005</v>
      </c>
    </row>
    <row r="99" spans="1:7">
      <c r="A99" s="44">
        <v>50902013068</v>
      </c>
      <c r="B99" t="s">
        <v>64</v>
      </c>
      <c r="C99" s="33">
        <v>46122</v>
      </c>
      <c r="D99" t="s">
        <v>65</v>
      </c>
      <c r="E99" s="35">
        <v>0</v>
      </c>
      <c r="F99" s="35">
        <v>19057</v>
      </c>
      <c r="G99" s="35">
        <f t="shared" si="1"/>
        <v>373773.05000000005</v>
      </c>
    </row>
    <row r="100" spans="1:7">
      <c r="A100" s="44">
        <v>27202013068</v>
      </c>
      <c r="B100" t="s">
        <v>66</v>
      </c>
      <c r="C100" s="33">
        <v>46122</v>
      </c>
      <c r="D100" t="s">
        <v>78</v>
      </c>
      <c r="E100" s="35">
        <v>-285.85000000000002</v>
      </c>
      <c r="F100" s="35">
        <v>0</v>
      </c>
      <c r="G100" s="35">
        <f t="shared" si="1"/>
        <v>373487.20000000007</v>
      </c>
    </row>
    <row r="101" spans="1:7">
      <c r="A101" s="44">
        <v>677211297315</v>
      </c>
      <c r="B101" t="s">
        <v>86</v>
      </c>
      <c r="C101" s="33">
        <v>46122</v>
      </c>
      <c r="D101" t="s">
        <v>65</v>
      </c>
      <c r="E101" s="35">
        <v>0</v>
      </c>
      <c r="F101" s="35">
        <v>7622.95</v>
      </c>
      <c r="G101" s="35">
        <f t="shared" si="1"/>
        <v>381110.15000000008</v>
      </c>
    </row>
    <row r="102" spans="1:7">
      <c r="A102" s="44">
        <v>210011297315</v>
      </c>
      <c r="B102" t="s">
        <v>69</v>
      </c>
      <c r="C102" s="33">
        <v>46122</v>
      </c>
      <c r="D102" t="s">
        <v>78</v>
      </c>
      <c r="E102" s="35">
        <v>-114.34</v>
      </c>
      <c r="F102" s="35">
        <v>0</v>
      </c>
      <c r="G102" s="35">
        <f t="shared" si="1"/>
        <v>380995.81000000006</v>
      </c>
    </row>
    <row r="103" spans="1:7">
      <c r="A103" s="44">
        <v>50903708375</v>
      </c>
      <c r="B103" t="s">
        <v>64</v>
      </c>
      <c r="C103" s="33">
        <v>46122</v>
      </c>
      <c r="D103" t="s">
        <v>65</v>
      </c>
      <c r="E103" s="35">
        <v>0</v>
      </c>
      <c r="F103" s="35">
        <v>19057.2</v>
      </c>
      <c r="G103" s="35">
        <f t="shared" si="1"/>
        <v>400053.01000000007</v>
      </c>
    </row>
    <row r="104" spans="1:7">
      <c r="A104" s="44">
        <v>27203708375</v>
      </c>
      <c r="B104" t="s">
        <v>66</v>
      </c>
      <c r="C104" s="33">
        <v>46122</v>
      </c>
      <c r="D104" t="s">
        <v>78</v>
      </c>
      <c r="E104" s="35">
        <v>-285.86</v>
      </c>
      <c r="F104" s="35">
        <v>0</v>
      </c>
      <c r="G104" s="35">
        <f t="shared" si="1"/>
        <v>399767.15000000008</v>
      </c>
    </row>
    <row r="105" spans="1:7">
      <c r="A105" s="44">
        <v>50958911190</v>
      </c>
      <c r="B105" t="s">
        <v>67</v>
      </c>
      <c r="C105" s="33">
        <v>46123</v>
      </c>
      <c r="D105" t="s">
        <v>65</v>
      </c>
      <c r="E105" s="35">
        <v>0</v>
      </c>
      <c r="F105" s="35">
        <v>14300</v>
      </c>
      <c r="G105" s="35">
        <f t="shared" si="1"/>
        <v>414067.15000000008</v>
      </c>
    </row>
    <row r="106" spans="1:7">
      <c r="A106" s="44">
        <v>27258911190</v>
      </c>
      <c r="B106" t="s">
        <v>66</v>
      </c>
      <c r="C106" s="33">
        <v>46123</v>
      </c>
      <c r="D106" t="s">
        <v>78</v>
      </c>
      <c r="E106" s="35">
        <v>-214.5</v>
      </c>
      <c r="F106" s="35">
        <v>0</v>
      </c>
      <c r="G106" s="35">
        <f t="shared" si="1"/>
        <v>413852.65000000008</v>
      </c>
    </row>
    <row r="107" spans="1:7">
      <c r="A107" s="44">
        <v>329276247417</v>
      </c>
      <c r="B107" t="s">
        <v>96</v>
      </c>
      <c r="C107" s="33">
        <v>46123</v>
      </c>
      <c r="D107" t="s">
        <v>78</v>
      </c>
      <c r="E107" s="35">
        <v>-12000</v>
      </c>
      <c r="F107" s="35">
        <v>0</v>
      </c>
      <c r="G107" s="35">
        <f t="shared" si="1"/>
        <v>401852.65000000008</v>
      </c>
    </row>
    <row r="108" spans="1:7">
      <c r="A108" s="44">
        <v>676276247417</v>
      </c>
      <c r="B108" t="s">
        <v>63</v>
      </c>
      <c r="C108" s="33">
        <v>46123</v>
      </c>
      <c r="D108" t="s">
        <v>78</v>
      </c>
      <c r="E108" s="35">
        <v>-30</v>
      </c>
      <c r="F108" s="35">
        <v>0</v>
      </c>
      <c r="G108" s="35">
        <f t="shared" si="1"/>
        <v>401822.65000000008</v>
      </c>
    </row>
    <row r="109" spans="1:7">
      <c r="A109" s="44">
        <v>329276263504</v>
      </c>
      <c r="B109" t="s">
        <v>97</v>
      </c>
      <c r="C109" s="33">
        <v>46123</v>
      </c>
      <c r="D109" t="s">
        <v>78</v>
      </c>
      <c r="E109" s="35">
        <v>-20000</v>
      </c>
      <c r="F109" s="35">
        <v>0</v>
      </c>
      <c r="G109" s="35">
        <f t="shared" si="1"/>
        <v>381822.65000000008</v>
      </c>
    </row>
    <row r="110" spans="1:7">
      <c r="A110" s="44">
        <v>676276263504</v>
      </c>
      <c r="B110" t="s">
        <v>63</v>
      </c>
      <c r="C110" s="33">
        <v>46123</v>
      </c>
      <c r="D110" t="s">
        <v>78</v>
      </c>
      <c r="E110" s="35">
        <v>-50</v>
      </c>
      <c r="F110" s="35">
        <v>0</v>
      </c>
      <c r="G110" s="35">
        <f t="shared" si="1"/>
        <v>381772.65000000008</v>
      </c>
    </row>
    <row r="111" spans="1:7">
      <c r="A111" s="44">
        <v>329276265418</v>
      </c>
      <c r="B111" t="s">
        <v>98</v>
      </c>
      <c r="C111" s="33">
        <v>46123</v>
      </c>
      <c r="D111" t="s">
        <v>78</v>
      </c>
      <c r="E111" s="35">
        <v>-80000</v>
      </c>
      <c r="F111" s="35">
        <v>0</v>
      </c>
      <c r="G111" s="35">
        <f t="shared" si="1"/>
        <v>301772.65000000008</v>
      </c>
    </row>
    <row r="112" spans="1:7">
      <c r="A112" s="44">
        <v>676276265418</v>
      </c>
      <c r="B112" t="s">
        <v>63</v>
      </c>
      <c r="C112" s="33">
        <v>46123</v>
      </c>
      <c r="D112" t="s">
        <v>78</v>
      </c>
      <c r="E112" s="35">
        <v>-200</v>
      </c>
      <c r="F112" s="35">
        <v>0</v>
      </c>
      <c r="G112" s="35">
        <f t="shared" si="1"/>
        <v>301572.65000000008</v>
      </c>
    </row>
    <row r="113" spans="1:7">
      <c r="A113" s="44">
        <v>329276269034</v>
      </c>
      <c r="B113" t="s">
        <v>99</v>
      </c>
      <c r="C113" s="33">
        <v>46123</v>
      </c>
      <c r="D113" t="s">
        <v>78</v>
      </c>
      <c r="E113" s="35">
        <v>-250000</v>
      </c>
      <c r="F113" s="35">
        <v>0</v>
      </c>
      <c r="G113" s="35">
        <f t="shared" si="1"/>
        <v>51572.650000000081</v>
      </c>
    </row>
    <row r="114" spans="1:7">
      <c r="A114" s="44">
        <v>676276269034</v>
      </c>
      <c r="B114" t="s">
        <v>63</v>
      </c>
      <c r="C114" s="33">
        <v>46123</v>
      </c>
      <c r="D114" t="s">
        <v>78</v>
      </c>
      <c r="E114" s="35">
        <v>-625</v>
      </c>
      <c r="F114" s="35">
        <v>0</v>
      </c>
      <c r="G114" s="35">
        <f t="shared" si="1"/>
        <v>50947.650000000081</v>
      </c>
    </row>
    <row r="115" spans="1:7">
      <c r="A115" s="44">
        <v>329276271412</v>
      </c>
      <c r="B115" t="s">
        <v>100</v>
      </c>
      <c r="C115" s="33">
        <v>46123</v>
      </c>
      <c r="D115" t="s">
        <v>78</v>
      </c>
      <c r="E115" s="35">
        <v>-50000</v>
      </c>
      <c r="F115" s="35">
        <v>0</v>
      </c>
      <c r="G115" s="35">
        <f t="shared" si="1"/>
        <v>947.65000000008149</v>
      </c>
    </row>
    <row r="116" spans="1:7">
      <c r="A116" s="44">
        <v>676276271412</v>
      </c>
      <c r="B116" t="s">
        <v>63</v>
      </c>
      <c r="C116" s="33">
        <v>46123</v>
      </c>
      <c r="D116" t="s">
        <v>78</v>
      </c>
      <c r="E116" s="35">
        <v>-125</v>
      </c>
      <c r="F116" s="35">
        <v>0</v>
      </c>
      <c r="G116" s="35">
        <f t="shared" si="1"/>
        <v>822.65000000008149</v>
      </c>
    </row>
    <row r="117" spans="1:7">
      <c r="A117" s="44">
        <v>677213796117</v>
      </c>
      <c r="B117" t="s">
        <v>68</v>
      </c>
      <c r="C117" s="33">
        <v>46123</v>
      </c>
      <c r="D117" t="s">
        <v>65</v>
      </c>
      <c r="E117" s="35">
        <v>0</v>
      </c>
      <c r="F117" s="35">
        <v>80994</v>
      </c>
      <c r="G117" s="35">
        <f t="shared" si="1"/>
        <v>81816.650000000081</v>
      </c>
    </row>
    <row r="118" spans="1:7">
      <c r="A118" s="44">
        <v>210013796117</v>
      </c>
      <c r="B118" t="s">
        <v>69</v>
      </c>
      <c r="C118" s="33">
        <v>46123</v>
      </c>
      <c r="D118" t="s">
        <v>78</v>
      </c>
      <c r="E118" s="35">
        <v>-1214.9100000000001</v>
      </c>
      <c r="F118" s="35">
        <v>0</v>
      </c>
      <c r="G118" s="35">
        <f t="shared" si="1"/>
        <v>80601.740000000078</v>
      </c>
    </row>
    <row r="119" spans="1:7">
      <c r="A119" s="44">
        <v>50927345060</v>
      </c>
      <c r="B119" t="s">
        <v>64</v>
      </c>
      <c r="C119" s="33">
        <v>46124</v>
      </c>
      <c r="D119" t="s">
        <v>65</v>
      </c>
      <c r="E119" s="35">
        <v>0</v>
      </c>
      <c r="F119" s="35">
        <v>19086</v>
      </c>
      <c r="G119" s="35">
        <f t="shared" si="1"/>
        <v>99687.740000000078</v>
      </c>
    </row>
    <row r="120" spans="1:7">
      <c r="A120" s="44">
        <v>27227345060</v>
      </c>
      <c r="B120" t="s">
        <v>66</v>
      </c>
      <c r="C120" s="33">
        <v>46124</v>
      </c>
      <c r="D120" t="s">
        <v>78</v>
      </c>
      <c r="E120" s="35">
        <v>-286.29000000000002</v>
      </c>
      <c r="F120" s="35">
        <v>0</v>
      </c>
      <c r="G120" s="35">
        <f t="shared" si="1"/>
        <v>99401.450000000084</v>
      </c>
    </row>
    <row r="121" spans="1:7">
      <c r="A121" s="44">
        <v>677214303523</v>
      </c>
      <c r="B121" t="s">
        <v>86</v>
      </c>
      <c r="C121" s="33">
        <v>46124</v>
      </c>
      <c r="D121" t="s">
        <v>65</v>
      </c>
      <c r="E121" s="35">
        <v>0</v>
      </c>
      <c r="F121" s="35">
        <v>52486.37</v>
      </c>
      <c r="G121" s="35">
        <f t="shared" si="1"/>
        <v>151887.82000000009</v>
      </c>
    </row>
    <row r="122" spans="1:7">
      <c r="A122" s="44">
        <v>210014303523</v>
      </c>
      <c r="B122" t="s">
        <v>69</v>
      </c>
      <c r="C122" s="33">
        <v>46124</v>
      </c>
      <c r="D122" t="s">
        <v>78</v>
      </c>
      <c r="E122" s="35">
        <v>-787.3</v>
      </c>
      <c r="F122" s="35">
        <v>0</v>
      </c>
      <c r="G122" s="35">
        <f t="shared" si="1"/>
        <v>151100.52000000011</v>
      </c>
    </row>
    <row r="123" spans="1:7">
      <c r="A123" s="44">
        <v>50959335795</v>
      </c>
      <c r="B123" t="s">
        <v>67</v>
      </c>
      <c r="C123" s="33">
        <v>46124</v>
      </c>
      <c r="D123" t="s">
        <v>65</v>
      </c>
      <c r="E123" s="35">
        <v>0</v>
      </c>
      <c r="F123" s="35">
        <v>10000</v>
      </c>
      <c r="G123" s="35">
        <f t="shared" si="1"/>
        <v>161100.52000000011</v>
      </c>
    </row>
    <row r="124" spans="1:7">
      <c r="A124" s="44">
        <v>27259335795</v>
      </c>
      <c r="B124" t="s">
        <v>66</v>
      </c>
      <c r="C124" s="33">
        <v>46124</v>
      </c>
      <c r="D124" t="s">
        <v>78</v>
      </c>
      <c r="E124" s="35">
        <v>-150</v>
      </c>
      <c r="F124" s="35">
        <v>0</v>
      </c>
      <c r="G124" s="35">
        <f t="shared" si="1"/>
        <v>160950.52000000011</v>
      </c>
    </row>
    <row r="125" spans="1:7">
      <c r="A125" s="44">
        <v>50931611559</v>
      </c>
      <c r="B125" t="s">
        <v>70</v>
      </c>
      <c r="C125" s="33">
        <v>46124</v>
      </c>
      <c r="D125" t="s">
        <v>65</v>
      </c>
      <c r="E125" s="35">
        <v>0</v>
      </c>
      <c r="F125" s="35">
        <v>47714.879999999997</v>
      </c>
      <c r="G125" s="35">
        <f t="shared" si="1"/>
        <v>208665.40000000011</v>
      </c>
    </row>
    <row r="126" spans="1:7">
      <c r="A126" s="44">
        <v>27231611559</v>
      </c>
      <c r="B126" t="s">
        <v>66</v>
      </c>
      <c r="C126" s="33">
        <v>46124</v>
      </c>
      <c r="D126" t="s">
        <v>78</v>
      </c>
      <c r="E126" s="35">
        <v>-715.72</v>
      </c>
      <c r="F126" s="35">
        <v>0</v>
      </c>
      <c r="G126" s="35">
        <f t="shared" si="1"/>
        <v>207949.68000000011</v>
      </c>
    </row>
    <row r="127" spans="1:7">
      <c r="A127" s="44">
        <v>677215944915</v>
      </c>
      <c r="B127" t="s">
        <v>86</v>
      </c>
      <c r="C127" s="33">
        <v>46125</v>
      </c>
      <c r="D127" t="s">
        <v>65</v>
      </c>
      <c r="E127" s="35">
        <v>0</v>
      </c>
      <c r="F127" s="35">
        <v>1</v>
      </c>
      <c r="G127" s="35">
        <f t="shared" si="1"/>
        <v>207950.68000000011</v>
      </c>
    </row>
    <row r="128" spans="1:7">
      <c r="A128" s="44">
        <v>210015944915</v>
      </c>
      <c r="B128" t="s">
        <v>69</v>
      </c>
      <c r="C128" s="33">
        <v>46125</v>
      </c>
      <c r="D128" t="s">
        <v>78</v>
      </c>
      <c r="E128" s="35">
        <v>-2</v>
      </c>
      <c r="F128" s="35">
        <v>0</v>
      </c>
      <c r="G128" s="35">
        <f t="shared" si="1"/>
        <v>207948.68000000011</v>
      </c>
    </row>
    <row r="129" spans="1:7">
      <c r="A129" s="44">
        <v>50930967201</v>
      </c>
      <c r="B129" t="s">
        <v>64</v>
      </c>
      <c r="C129" s="33">
        <v>46125</v>
      </c>
      <c r="D129" t="s">
        <v>65</v>
      </c>
      <c r="E129" s="35">
        <v>0</v>
      </c>
      <c r="F129" s="35">
        <v>19086</v>
      </c>
      <c r="G129" s="35">
        <f t="shared" si="1"/>
        <v>227034.68000000011</v>
      </c>
    </row>
    <row r="130" spans="1:7">
      <c r="A130" s="44">
        <v>27230967201</v>
      </c>
      <c r="B130" t="s">
        <v>66</v>
      </c>
      <c r="C130" s="33">
        <v>46125</v>
      </c>
      <c r="D130" t="s">
        <v>78</v>
      </c>
      <c r="E130" s="35">
        <v>-286.29000000000002</v>
      </c>
      <c r="F130" s="35">
        <v>0</v>
      </c>
      <c r="G130" s="35">
        <f t="shared" si="1"/>
        <v>226748.3900000001</v>
      </c>
    </row>
    <row r="131" spans="1:7">
      <c r="A131" s="44">
        <v>50959558554</v>
      </c>
      <c r="B131" t="s">
        <v>67</v>
      </c>
      <c r="C131" s="33">
        <v>46125</v>
      </c>
      <c r="D131" t="s">
        <v>65</v>
      </c>
      <c r="E131" s="35">
        <v>0</v>
      </c>
      <c r="F131" s="35">
        <v>47715</v>
      </c>
      <c r="G131" s="35">
        <f t="shared" si="1"/>
        <v>274463.39000000013</v>
      </c>
    </row>
    <row r="132" spans="1:7">
      <c r="A132" s="44">
        <v>27259558554</v>
      </c>
      <c r="B132" t="s">
        <v>66</v>
      </c>
      <c r="C132" s="33">
        <v>46125</v>
      </c>
      <c r="D132" t="s">
        <v>78</v>
      </c>
      <c r="E132" s="35">
        <v>-715.73</v>
      </c>
      <c r="F132" s="35">
        <v>0</v>
      </c>
      <c r="G132" s="35">
        <f t="shared" si="1"/>
        <v>273747.66000000015</v>
      </c>
    </row>
    <row r="133" spans="1:7">
      <c r="A133" s="44">
        <v>677216483699</v>
      </c>
      <c r="B133" t="s">
        <v>86</v>
      </c>
      <c r="C133" s="33">
        <v>46125</v>
      </c>
      <c r="D133" t="s">
        <v>65</v>
      </c>
      <c r="E133" s="35">
        <v>0</v>
      </c>
      <c r="F133" s="35">
        <v>14413.46</v>
      </c>
      <c r="G133" s="35">
        <f t="shared" si="1"/>
        <v>288161.12000000017</v>
      </c>
    </row>
    <row r="134" spans="1:7">
      <c r="A134" s="44">
        <v>210016483699</v>
      </c>
      <c r="B134" t="s">
        <v>69</v>
      </c>
      <c r="C134" s="33">
        <v>46125</v>
      </c>
      <c r="D134" t="s">
        <v>78</v>
      </c>
      <c r="E134" s="35">
        <v>-216.2</v>
      </c>
      <c r="F134" s="35">
        <v>0</v>
      </c>
      <c r="G134" s="35">
        <f t="shared" si="1"/>
        <v>287944.92000000016</v>
      </c>
    </row>
    <row r="135" spans="1:7">
      <c r="A135" s="44">
        <v>329276410884</v>
      </c>
      <c r="B135" t="s">
        <v>101</v>
      </c>
      <c r="C135" s="33">
        <v>46125</v>
      </c>
      <c r="D135" t="s">
        <v>78</v>
      </c>
      <c r="E135" s="35">
        <v>-100000</v>
      </c>
      <c r="F135" s="35">
        <v>0</v>
      </c>
      <c r="G135" s="35">
        <f t="shared" ref="G135:G198" si="2">G134+E135+F135</f>
        <v>187944.92000000016</v>
      </c>
    </row>
    <row r="136" spans="1:7">
      <c r="A136" s="44">
        <v>676276410884</v>
      </c>
      <c r="B136" t="s">
        <v>63</v>
      </c>
      <c r="C136" s="33">
        <v>46125</v>
      </c>
      <c r="D136" t="s">
        <v>78</v>
      </c>
      <c r="E136" s="35">
        <v>-250</v>
      </c>
      <c r="F136" s="35">
        <v>0</v>
      </c>
      <c r="G136" s="35">
        <f t="shared" si="2"/>
        <v>187694.92000000016</v>
      </c>
    </row>
    <row r="137" spans="1:7">
      <c r="A137" s="44">
        <v>50932435692</v>
      </c>
      <c r="B137" t="s">
        <v>64</v>
      </c>
      <c r="C137" s="33">
        <v>46125</v>
      </c>
      <c r="D137" t="s">
        <v>65</v>
      </c>
      <c r="E137" s="35">
        <v>0</v>
      </c>
      <c r="F137" s="35">
        <v>57258</v>
      </c>
      <c r="G137" s="35">
        <f t="shared" si="2"/>
        <v>244952.92000000016</v>
      </c>
    </row>
    <row r="138" spans="1:7">
      <c r="A138" s="44">
        <v>27232435692</v>
      </c>
      <c r="B138" t="s">
        <v>66</v>
      </c>
      <c r="C138" s="33">
        <v>46125</v>
      </c>
      <c r="D138" t="s">
        <v>78</v>
      </c>
      <c r="E138" s="35">
        <v>-858.87</v>
      </c>
      <c r="F138" s="35">
        <v>0</v>
      </c>
      <c r="G138" s="35">
        <f t="shared" si="2"/>
        <v>244094.05000000016</v>
      </c>
    </row>
    <row r="139" spans="1:7">
      <c r="A139" s="44">
        <v>329276554315</v>
      </c>
      <c r="B139" t="s">
        <v>102</v>
      </c>
      <c r="C139" s="33">
        <v>46126</v>
      </c>
      <c r="D139" t="s">
        <v>78</v>
      </c>
      <c r="E139" s="35">
        <v>-40000</v>
      </c>
      <c r="F139" s="35">
        <v>0</v>
      </c>
      <c r="G139" s="35">
        <f t="shared" si="2"/>
        <v>204094.05000000016</v>
      </c>
    </row>
    <row r="140" spans="1:7">
      <c r="A140" s="44">
        <v>676276554315</v>
      </c>
      <c r="B140" t="s">
        <v>63</v>
      </c>
      <c r="C140" s="33">
        <v>46126</v>
      </c>
      <c r="D140" t="s">
        <v>78</v>
      </c>
      <c r="E140" s="35">
        <v>-100</v>
      </c>
      <c r="F140" s="35">
        <v>0</v>
      </c>
      <c r="G140" s="35">
        <f t="shared" si="2"/>
        <v>203994.05000000016</v>
      </c>
    </row>
    <row r="141" spans="1:7">
      <c r="A141" s="44">
        <v>50932910999</v>
      </c>
      <c r="B141" t="s">
        <v>70</v>
      </c>
      <c r="C141" s="33">
        <v>46126</v>
      </c>
      <c r="D141" t="s">
        <v>65</v>
      </c>
      <c r="E141" s="35">
        <v>0</v>
      </c>
      <c r="F141" s="35">
        <v>32000.94</v>
      </c>
      <c r="G141" s="35">
        <f t="shared" si="2"/>
        <v>235994.99000000017</v>
      </c>
    </row>
    <row r="142" spans="1:7">
      <c r="A142" s="44">
        <v>27232910999</v>
      </c>
      <c r="B142" t="s">
        <v>66</v>
      </c>
      <c r="C142" s="33">
        <v>46126</v>
      </c>
      <c r="D142" t="s">
        <v>78</v>
      </c>
      <c r="E142" s="35">
        <v>-480.01</v>
      </c>
      <c r="F142" s="35">
        <v>0</v>
      </c>
      <c r="G142" s="35">
        <f t="shared" si="2"/>
        <v>235514.98000000016</v>
      </c>
    </row>
    <row r="143" spans="1:7">
      <c r="A143" s="44">
        <v>50959857077</v>
      </c>
      <c r="B143" t="s">
        <v>67</v>
      </c>
      <c r="C143" s="33">
        <v>46126</v>
      </c>
      <c r="D143" t="s">
        <v>65</v>
      </c>
      <c r="E143" s="35">
        <v>0</v>
      </c>
      <c r="F143" s="35">
        <v>33430</v>
      </c>
      <c r="G143" s="35">
        <f t="shared" si="2"/>
        <v>268944.98000000016</v>
      </c>
    </row>
    <row r="144" spans="1:7">
      <c r="A144" s="44">
        <v>27259857077</v>
      </c>
      <c r="B144" t="s">
        <v>66</v>
      </c>
      <c r="C144" s="33">
        <v>46126</v>
      </c>
      <c r="D144" t="s">
        <v>78</v>
      </c>
      <c r="E144" s="35">
        <v>-501.45</v>
      </c>
      <c r="F144" s="35">
        <v>0</v>
      </c>
      <c r="G144" s="35">
        <f t="shared" si="2"/>
        <v>268443.53000000014</v>
      </c>
    </row>
    <row r="145" spans="1:7">
      <c r="A145" s="44">
        <v>329276696042</v>
      </c>
      <c r="B145" t="s">
        <v>103</v>
      </c>
      <c r="C145" s="33">
        <v>46126</v>
      </c>
      <c r="D145" t="s">
        <v>78</v>
      </c>
      <c r="E145" s="35">
        <v>-30000</v>
      </c>
      <c r="F145" s="35">
        <v>0</v>
      </c>
      <c r="G145" s="35">
        <f t="shared" si="2"/>
        <v>238443.53000000014</v>
      </c>
    </row>
    <row r="146" spans="1:7">
      <c r="A146" s="44">
        <v>676276696042</v>
      </c>
      <c r="B146" t="s">
        <v>63</v>
      </c>
      <c r="C146" s="33">
        <v>46126</v>
      </c>
      <c r="D146" t="s">
        <v>78</v>
      </c>
      <c r="E146" s="35">
        <v>-75</v>
      </c>
      <c r="F146" s="35">
        <v>0</v>
      </c>
      <c r="G146" s="35">
        <f t="shared" si="2"/>
        <v>238368.53000000014</v>
      </c>
    </row>
    <row r="147" spans="1:7">
      <c r="A147" s="44">
        <v>50950113833</v>
      </c>
      <c r="B147" t="s">
        <v>67</v>
      </c>
      <c r="C147" s="33">
        <v>46127</v>
      </c>
      <c r="D147" t="s">
        <v>65</v>
      </c>
      <c r="E147" s="35">
        <v>0</v>
      </c>
      <c r="F147" s="35">
        <v>19150</v>
      </c>
      <c r="G147" s="35">
        <f t="shared" si="2"/>
        <v>257518.53000000014</v>
      </c>
    </row>
    <row r="148" spans="1:7">
      <c r="A148" s="44">
        <v>27250113833</v>
      </c>
      <c r="B148" t="s">
        <v>66</v>
      </c>
      <c r="C148" s="33">
        <v>46127</v>
      </c>
      <c r="D148" t="s">
        <v>78</v>
      </c>
      <c r="E148" s="35">
        <v>-287.25</v>
      </c>
      <c r="F148" s="35">
        <v>0</v>
      </c>
      <c r="G148" s="35">
        <f t="shared" si="2"/>
        <v>257231.28000000014</v>
      </c>
    </row>
    <row r="149" spans="1:7">
      <c r="A149" s="44">
        <v>677219864857</v>
      </c>
      <c r="B149" t="s">
        <v>68</v>
      </c>
      <c r="C149" s="33">
        <v>46127</v>
      </c>
      <c r="D149" t="s">
        <v>65</v>
      </c>
      <c r="E149" s="35">
        <v>0</v>
      </c>
      <c r="F149" s="35">
        <v>23451</v>
      </c>
      <c r="G149" s="35">
        <f t="shared" si="2"/>
        <v>280682.28000000014</v>
      </c>
    </row>
    <row r="150" spans="1:7">
      <c r="A150" s="44">
        <v>210019864857</v>
      </c>
      <c r="B150" t="s">
        <v>69</v>
      </c>
      <c r="C150" s="33">
        <v>46127</v>
      </c>
      <c r="D150" t="s">
        <v>78</v>
      </c>
      <c r="E150" s="35">
        <v>-351.77</v>
      </c>
      <c r="F150" s="35">
        <v>0</v>
      </c>
      <c r="G150" s="35">
        <f t="shared" si="2"/>
        <v>280330.51000000013</v>
      </c>
    </row>
    <row r="151" spans="1:7">
      <c r="A151" s="44">
        <v>677220165083</v>
      </c>
      <c r="B151" t="s">
        <v>68</v>
      </c>
      <c r="C151" s="33">
        <v>46127</v>
      </c>
      <c r="D151" t="s">
        <v>65</v>
      </c>
      <c r="E151" s="35">
        <v>0</v>
      </c>
      <c r="F151" s="35">
        <v>14358</v>
      </c>
      <c r="G151" s="35">
        <f t="shared" si="2"/>
        <v>294688.51000000013</v>
      </c>
    </row>
    <row r="152" spans="1:7">
      <c r="A152" s="44">
        <v>210020165083</v>
      </c>
      <c r="B152" t="s">
        <v>69</v>
      </c>
      <c r="C152" s="33">
        <v>46127</v>
      </c>
      <c r="D152" t="s">
        <v>78</v>
      </c>
      <c r="E152" s="35">
        <v>-215.37</v>
      </c>
      <c r="F152" s="35">
        <v>0</v>
      </c>
      <c r="G152" s="35">
        <f t="shared" si="2"/>
        <v>294473.14000000013</v>
      </c>
    </row>
    <row r="153" spans="1:7">
      <c r="A153" s="44">
        <v>677220404107</v>
      </c>
      <c r="B153" t="s">
        <v>86</v>
      </c>
      <c r="C153" s="33">
        <v>46127</v>
      </c>
      <c r="D153" t="s">
        <v>65</v>
      </c>
      <c r="E153" s="35">
        <v>0</v>
      </c>
      <c r="F153" s="35">
        <v>26321.96</v>
      </c>
      <c r="G153" s="35">
        <f t="shared" si="2"/>
        <v>320795.10000000015</v>
      </c>
    </row>
    <row r="154" spans="1:7">
      <c r="A154" s="44">
        <v>210020404107</v>
      </c>
      <c r="B154" t="s">
        <v>69</v>
      </c>
      <c r="C154" s="33">
        <v>46127</v>
      </c>
      <c r="D154" t="s">
        <v>78</v>
      </c>
      <c r="E154" s="35">
        <v>-394.83</v>
      </c>
      <c r="F154" s="35">
        <v>0</v>
      </c>
      <c r="G154" s="35">
        <f t="shared" si="2"/>
        <v>320400.27000000014</v>
      </c>
    </row>
    <row r="155" spans="1:7">
      <c r="A155" s="44">
        <v>50958726923</v>
      </c>
      <c r="B155" t="s">
        <v>64</v>
      </c>
      <c r="C155" s="33">
        <v>46127</v>
      </c>
      <c r="D155" t="s">
        <v>65</v>
      </c>
      <c r="E155" s="35">
        <v>0</v>
      </c>
      <c r="F155" s="35">
        <v>28714.799999999999</v>
      </c>
      <c r="G155" s="35">
        <f t="shared" si="2"/>
        <v>349115.07000000012</v>
      </c>
    </row>
    <row r="156" spans="1:7">
      <c r="A156" s="44">
        <v>27258726923</v>
      </c>
      <c r="B156" t="s">
        <v>66</v>
      </c>
      <c r="C156" s="33">
        <v>46127</v>
      </c>
      <c r="D156" t="s">
        <v>78</v>
      </c>
      <c r="E156" s="35">
        <v>-430.72</v>
      </c>
      <c r="F156" s="35">
        <v>0</v>
      </c>
      <c r="G156" s="35">
        <f t="shared" si="2"/>
        <v>348684.35000000015</v>
      </c>
    </row>
    <row r="157" spans="1:7">
      <c r="A157" s="44">
        <v>50934489092</v>
      </c>
      <c r="B157" t="s">
        <v>70</v>
      </c>
      <c r="C157" s="33">
        <v>46127</v>
      </c>
      <c r="D157" t="s">
        <v>65</v>
      </c>
      <c r="E157" s="35">
        <v>0</v>
      </c>
      <c r="F157" s="35">
        <v>23929.06</v>
      </c>
      <c r="G157" s="35">
        <f t="shared" si="2"/>
        <v>372613.41000000015</v>
      </c>
    </row>
    <row r="158" spans="1:7">
      <c r="A158" s="44">
        <v>27234489092</v>
      </c>
      <c r="B158" t="s">
        <v>66</v>
      </c>
      <c r="C158" s="33">
        <v>46127</v>
      </c>
      <c r="D158" t="s">
        <v>78</v>
      </c>
      <c r="E158" s="35">
        <v>-358.94</v>
      </c>
      <c r="F158" s="35">
        <v>0</v>
      </c>
      <c r="G158" s="35">
        <f t="shared" si="2"/>
        <v>372254.47000000015</v>
      </c>
    </row>
    <row r="159" spans="1:7">
      <c r="A159" s="44">
        <v>50950541128</v>
      </c>
      <c r="B159" t="s">
        <v>67</v>
      </c>
      <c r="C159" s="33">
        <v>46128</v>
      </c>
      <c r="D159" t="s">
        <v>65</v>
      </c>
      <c r="E159" s="35">
        <v>0</v>
      </c>
      <c r="F159" s="35">
        <v>47980</v>
      </c>
      <c r="G159" s="35">
        <f t="shared" si="2"/>
        <v>420234.47000000015</v>
      </c>
    </row>
    <row r="160" spans="1:7">
      <c r="A160" s="44">
        <v>27250541128</v>
      </c>
      <c r="B160" t="s">
        <v>66</v>
      </c>
      <c r="C160" s="33">
        <v>46128</v>
      </c>
      <c r="D160" t="s">
        <v>78</v>
      </c>
      <c r="E160" s="35">
        <v>-719.7</v>
      </c>
      <c r="F160" s="35">
        <v>0</v>
      </c>
      <c r="G160" s="35">
        <f t="shared" si="2"/>
        <v>419514.77000000014</v>
      </c>
    </row>
    <row r="161" spans="1:7">
      <c r="A161" s="44">
        <v>329279549663</v>
      </c>
      <c r="B161" t="s">
        <v>104</v>
      </c>
      <c r="C161" s="33">
        <v>46128</v>
      </c>
      <c r="D161" t="s">
        <v>78</v>
      </c>
      <c r="E161" s="35">
        <v>-95000</v>
      </c>
      <c r="F161" s="35">
        <v>0</v>
      </c>
      <c r="G161" s="35">
        <f t="shared" si="2"/>
        <v>324514.77000000014</v>
      </c>
    </row>
    <row r="162" spans="1:7">
      <c r="A162" s="44">
        <v>676279549663</v>
      </c>
      <c r="B162" t="s">
        <v>63</v>
      </c>
      <c r="C162" s="33">
        <v>46128</v>
      </c>
      <c r="D162" t="s">
        <v>78</v>
      </c>
      <c r="E162" s="35">
        <v>-237.5</v>
      </c>
      <c r="F162" s="35">
        <v>0</v>
      </c>
      <c r="G162" s="35">
        <f t="shared" si="2"/>
        <v>324277.27000000014</v>
      </c>
    </row>
    <row r="163" spans="1:7">
      <c r="A163" s="44">
        <v>50962290154</v>
      </c>
      <c r="B163" t="s">
        <v>64</v>
      </c>
      <c r="C163" s="33">
        <v>46128</v>
      </c>
      <c r="D163" t="s">
        <v>65</v>
      </c>
      <c r="E163" s="35">
        <v>0</v>
      </c>
      <c r="F163" s="35">
        <v>28786.799999999999</v>
      </c>
      <c r="G163" s="35">
        <f t="shared" si="2"/>
        <v>353064.07000000012</v>
      </c>
    </row>
    <row r="164" spans="1:7">
      <c r="A164" s="44">
        <v>27262290154</v>
      </c>
      <c r="B164" t="s">
        <v>66</v>
      </c>
      <c r="C164" s="33">
        <v>46128</v>
      </c>
      <c r="D164" t="s">
        <v>78</v>
      </c>
      <c r="E164" s="35">
        <v>-431.8</v>
      </c>
      <c r="F164" s="35">
        <v>0</v>
      </c>
      <c r="G164" s="35">
        <f t="shared" si="2"/>
        <v>352632.27000000014</v>
      </c>
    </row>
    <row r="165" spans="1:7">
      <c r="A165" s="44">
        <v>50935614857</v>
      </c>
      <c r="B165" t="s">
        <v>70</v>
      </c>
      <c r="C165" s="33">
        <v>46128</v>
      </c>
      <c r="D165" t="s">
        <v>65</v>
      </c>
      <c r="E165" s="35">
        <v>0</v>
      </c>
      <c r="F165" s="35">
        <v>28786.65</v>
      </c>
      <c r="G165" s="35">
        <f t="shared" si="2"/>
        <v>381418.92000000016</v>
      </c>
    </row>
    <row r="166" spans="1:7">
      <c r="A166" s="44">
        <v>27235614857</v>
      </c>
      <c r="B166" t="s">
        <v>66</v>
      </c>
      <c r="C166" s="33">
        <v>46128</v>
      </c>
      <c r="D166" t="s">
        <v>78</v>
      </c>
      <c r="E166" s="35">
        <v>-431.8</v>
      </c>
      <c r="F166" s="35">
        <v>0</v>
      </c>
      <c r="G166" s="35">
        <f t="shared" si="2"/>
        <v>380987.12000000017</v>
      </c>
    </row>
    <row r="167" spans="1:7">
      <c r="A167" s="44">
        <v>677223823527</v>
      </c>
      <c r="B167" t="s">
        <v>86</v>
      </c>
      <c r="C167" s="33">
        <v>46129</v>
      </c>
      <c r="D167" t="s">
        <v>65</v>
      </c>
      <c r="E167" s="35">
        <v>0</v>
      </c>
      <c r="F167" s="35">
        <v>33382.92</v>
      </c>
      <c r="G167" s="35">
        <f t="shared" si="2"/>
        <v>414370.04000000015</v>
      </c>
    </row>
    <row r="168" spans="1:7">
      <c r="A168" s="44">
        <v>210023823527</v>
      </c>
      <c r="B168" t="s">
        <v>69</v>
      </c>
      <c r="C168" s="33">
        <v>46129</v>
      </c>
      <c r="D168" t="s">
        <v>78</v>
      </c>
      <c r="E168" s="35">
        <v>-500.74</v>
      </c>
      <c r="F168" s="35">
        <v>0</v>
      </c>
      <c r="G168" s="35">
        <f t="shared" si="2"/>
        <v>413869.30000000016</v>
      </c>
    </row>
    <row r="169" spans="1:7">
      <c r="A169" s="44">
        <v>50950776515</v>
      </c>
      <c r="B169" t="s">
        <v>105</v>
      </c>
      <c r="C169" s="33">
        <v>46129</v>
      </c>
      <c r="D169" t="s">
        <v>65</v>
      </c>
      <c r="E169" s="35">
        <v>0</v>
      </c>
      <c r="F169" s="35">
        <v>19210</v>
      </c>
      <c r="G169" s="35">
        <f t="shared" si="2"/>
        <v>433079.30000000016</v>
      </c>
    </row>
    <row r="170" spans="1:7">
      <c r="A170" s="44"/>
      <c r="B170">
        <v>4243252293</v>
      </c>
      <c r="G170" s="35">
        <f t="shared" si="2"/>
        <v>433079.30000000016</v>
      </c>
    </row>
    <row r="171" spans="1:7">
      <c r="A171" s="44">
        <v>27250776515</v>
      </c>
      <c r="B171" t="s">
        <v>66</v>
      </c>
      <c r="C171" s="33">
        <v>46129</v>
      </c>
      <c r="D171" t="s">
        <v>78</v>
      </c>
      <c r="E171" s="35">
        <v>-288.14999999999998</v>
      </c>
      <c r="F171" s="35">
        <v>0</v>
      </c>
      <c r="G171" s="35">
        <f t="shared" si="2"/>
        <v>432791.15000000014</v>
      </c>
    </row>
    <row r="172" spans="1:7">
      <c r="A172" s="44">
        <v>592362989807</v>
      </c>
      <c r="B172" t="s">
        <v>106</v>
      </c>
      <c r="C172" s="33">
        <v>46129</v>
      </c>
      <c r="E172" s="35">
        <v>-6823.73</v>
      </c>
      <c r="F172" s="35">
        <v>0</v>
      </c>
      <c r="G172" s="35">
        <f t="shared" si="2"/>
        <v>425967.42000000016</v>
      </c>
    </row>
    <row r="173" spans="1:7">
      <c r="A173" s="44">
        <v>50974378069</v>
      </c>
      <c r="B173" t="s">
        <v>64</v>
      </c>
      <c r="C173" s="33">
        <v>46129</v>
      </c>
      <c r="D173" t="s">
        <v>65</v>
      </c>
      <c r="E173" s="35">
        <v>0</v>
      </c>
      <c r="F173" s="35">
        <v>12486.76</v>
      </c>
      <c r="G173" s="35">
        <f t="shared" si="2"/>
        <v>438454.18000000017</v>
      </c>
    </row>
    <row r="174" spans="1:7">
      <c r="A174" s="44">
        <v>27274378069</v>
      </c>
      <c r="B174" t="s">
        <v>66</v>
      </c>
      <c r="C174" s="33">
        <v>46129</v>
      </c>
      <c r="E174" s="35">
        <v>-187.3</v>
      </c>
      <c r="F174" s="35">
        <v>0</v>
      </c>
      <c r="G174" s="35">
        <f t="shared" si="2"/>
        <v>438266.88000000018</v>
      </c>
    </row>
    <row r="175" spans="1:7">
      <c r="A175" s="44">
        <v>677224757849</v>
      </c>
      <c r="B175" t="s">
        <v>68</v>
      </c>
      <c r="C175" s="33">
        <v>46129</v>
      </c>
      <c r="D175" t="s">
        <v>65</v>
      </c>
      <c r="E175" s="35">
        <v>0</v>
      </c>
      <c r="F175" s="35">
        <v>9596</v>
      </c>
      <c r="G175" s="35">
        <f t="shared" si="2"/>
        <v>447862.88000000018</v>
      </c>
    </row>
    <row r="176" spans="1:7">
      <c r="A176" s="44">
        <v>210024757849</v>
      </c>
      <c r="B176" t="s">
        <v>69</v>
      </c>
      <c r="C176" s="33">
        <v>46129</v>
      </c>
      <c r="E176" s="35">
        <v>-143.94</v>
      </c>
      <c r="F176" s="35">
        <v>0</v>
      </c>
      <c r="G176" s="35">
        <f t="shared" si="2"/>
        <v>447718.94000000018</v>
      </c>
    </row>
    <row r="177" spans="1:7">
      <c r="A177" s="44">
        <v>329279788464</v>
      </c>
      <c r="B177" t="s">
        <v>107</v>
      </c>
      <c r="C177" s="33">
        <v>46129</v>
      </c>
      <c r="D177" t="s">
        <v>78</v>
      </c>
      <c r="E177" s="35">
        <v>-100000</v>
      </c>
      <c r="F177" s="35">
        <v>0</v>
      </c>
      <c r="G177" s="35">
        <f t="shared" si="2"/>
        <v>347718.94000000018</v>
      </c>
    </row>
    <row r="178" spans="1:7">
      <c r="A178" s="44">
        <v>676279788464</v>
      </c>
      <c r="B178" t="s">
        <v>63</v>
      </c>
      <c r="C178" s="33">
        <v>46129</v>
      </c>
      <c r="E178" s="35">
        <v>-250</v>
      </c>
      <c r="F178" s="35">
        <v>0</v>
      </c>
      <c r="G178" s="35">
        <f t="shared" si="2"/>
        <v>347468.94000000018</v>
      </c>
    </row>
    <row r="179" spans="1:7">
      <c r="A179" s="44">
        <v>677224872995</v>
      </c>
      <c r="B179" t="s">
        <v>68</v>
      </c>
      <c r="C179" s="33">
        <v>46129</v>
      </c>
      <c r="D179" t="s">
        <v>65</v>
      </c>
      <c r="E179" s="35">
        <v>0</v>
      </c>
      <c r="F179" s="35">
        <v>9596.01</v>
      </c>
      <c r="G179" s="35">
        <f t="shared" si="2"/>
        <v>357064.95000000019</v>
      </c>
    </row>
    <row r="180" spans="1:7">
      <c r="A180" s="44">
        <v>210024872995</v>
      </c>
      <c r="B180" t="s">
        <v>69</v>
      </c>
      <c r="C180" s="33">
        <v>46129</v>
      </c>
      <c r="E180" s="35">
        <v>-143.94</v>
      </c>
      <c r="F180" s="35">
        <v>0</v>
      </c>
      <c r="G180" s="35">
        <f t="shared" si="2"/>
        <v>356921.01000000018</v>
      </c>
    </row>
    <row r="181" spans="1:7">
      <c r="A181" s="44">
        <v>50950958812</v>
      </c>
      <c r="B181" t="s">
        <v>67</v>
      </c>
      <c r="C181" s="33">
        <v>46129</v>
      </c>
      <c r="D181" t="s">
        <v>65</v>
      </c>
      <c r="E181" s="35">
        <v>0</v>
      </c>
      <c r="F181" s="35">
        <v>28800.080000000002</v>
      </c>
      <c r="G181" s="35">
        <f t="shared" si="2"/>
        <v>385721.0900000002</v>
      </c>
    </row>
    <row r="182" spans="1:7">
      <c r="A182" s="44">
        <v>27250958812</v>
      </c>
      <c r="B182" t="s">
        <v>66</v>
      </c>
      <c r="C182" s="33">
        <v>46129</v>
      </c>
      <c r="E182" s="35">
        <v>-432</v>
      </c>
      <c r="F182" s="35">
        <v>0</v>
      </c>
      <c r="G182" s="35">
        <f t="shared" si="2"/>
        <v>385289.0900000002</v>
      </c>
    </row>
    <row r="183" spans="1:7">
      <c r="A183" s="44">
        <v>50976313874</v>
      </c>
      <c r="B183" t="s">
        <v>64</v>
      </c>
      <c r="C183" s="33">
        <v>46129</v>
      </c>
      <c r="D183" t="s">
        <v>65</v>
      </c>
      <c r="E183" s="35">
        <v>0</v>
      </c>
      <c r="F183" s="35">
        <v>24000</v>
      </c>
      <c r="G183" s="35">
        <f t="shared" si="2"/>
        <v>409289.0900000002</v>
      </c>
    </row>
    <row r="184" spans="1:7">
      <c r="A184" s="44">
        <v>27276313874</v>
      </c>
      <c r="B184" t="s">
        <v>66</v>
      </c>
      <c r="C184" s="33">
        <v>46129</v>
      </c>
      <c r="E184" s="35">
        <v>-360</v>
      </c>
      <c r="F184" s="35">
        <v>0</v>
      </c>
      <c r="G184" s="35">
        <f t="shared" si="2"/>
        <v>408929.0900000002</v>
      </c>
    </row>
    <row r="185" spans="1:7">
      <c r="A185" s="44">
        <v>50936898986</v>
      </c>
      <c r="B185" t="s">
        <v>108</v>
      </c>
      <c r="C185" s="33">
        <v>46129</v>
      </c>
      <c r="D185" t="s">
        <v>65</v>
      </c>
      <c r="E185" s="35">
        <v>0</v>
      </c>
      <c r="F185" s="35">
        <v>24012.86</v>
      </c>
      <c r="G185" s="35">
        <f t="shared" si="2"/>
        <v>432941.95000000019</v>
      </c>
    </row>
    <row r="186" spans="1:7">
      <c r="A186" s="44"/>
      <c r="B186">
        <v>4141500569</v>
      </c>
      <c r="G186" s="35">
        <f t="shared" si="2"/>
        <v>432941.95000000019</v>
      </c>
    </row>
    <row r="187" spans="1:7">
      <c r="A187" s="44">
        <v>27236898986</v>
      </c>
      <c r="B187" t="s">
        <v>66</v>
      </c>
      <c r="C187" s="33">
        <v>46129</v>
      </c>
      <c r="E187" s="35">
        <v>-360.19</v>
      </c>
      <c r="F187" s="35">
        <v>0</v>
      </c>
      <c r="G187" s="35">
        <f t="shared" si="2"/>
        <v>432581.76000000018</v>
      </c>
    </row>
    <row r="188" spans="1:7">
      <c r="A188" s="44">
        <v>329279864601</v>
      </c>
      <c r="B188" t="s">
        <v>109</v>
      </c>
      <c r="C188" s="33">
        <v>46130</v>
      </c>
      <c r="D188" t="s">
        <v>78</v>
      </c>
      <c r="E188" s="35">
        <v>-30000</v>
      </c>
      <c r="F188" s="35">
        <v>0</v>
      </c>
      <c r="G188" s="35">
        <f t="shared" si="2"/>
        <v>402581.76000000018</v>
      </c>
    </row>
    <row r="189" spans="1:7">
      <c r="A189" s="44">
        <v>676279864601</v>
      </c>
      <c r="B189" t="s">
        <v>63</v>
      </c>
      <c r="C189" s="33">
        <v>46130</v>
      </c>
      <c r="E189" s="35">
        <v>-75</v>
      </c>
      <c r="F189" s="35">
        <v>0</v>
      </c>
      <c r="G189" s="35">
        <f t="shared" si="2"/>
        <v>402506.76000000018</v>
      </c>
    </row>
    <row r="190" spans="1:7">
      <c r="A190" s="44">
        <v>50938079969</v>
      </c>
      <c r="B190" t="s">
        <v>70</v>
      </c>
      <c r="C190" s="33">
        <v>46130</v>
      </c>
      <c r="D190" t="s">
        <v>65</v>
      </c>
      <c r="E190" s="35">
        <v>0</v>
      </c>
      <c r="F190" s="35">
        <v>33685.24</v>
      </c>
      <c r="G190" s="35">
        <f t="shared" si="2"/>
        <v>436192.00000000017</v>
      </c>
    </row>
    <row r="191" spans="1:7">
      <c r="A191" s="44">
        <v>27238079969</v>
      </c>
      <c r="B191" t="s">
        <v>66</v>
      </c>
      <c r="C191" s="33">
        <v>46130</v>
      </c>
      <c r="E191" s="35">
        <v>-505.28</v>
      </c>
      <c r="F191" s="35">
        <v>0</v>
      </c>
      <c r="G191" s="35">
        <f t="shared" si="2"/>
        <v>435686.72000000015</v>
      </c>
    </row>
    <row r="192" spans="1:7">
      <c r="A192" s="44">
        <v>50980197412</v>
      </c>
      <c r="B192" t="s">
        <v>64</v>
      </c>
      <c r="C192" s="33">
        <v>46130</v>
      </c>
      <c r="D192" t="s">
        <v>65</v>
      </c>
      <c r="E192" s="35">
        <v>0</v>
      </c>
      <c r="F192" s="35">
        <v>16843</v>
      </c>
      <c r="G192" s="35">
        <f t="shared" si="2"/>
        <v>452529.72000000015</v>
      </c>
    </row>
    <row r="193" spans="1:7">
      <c r="A193" s="44">
        <v>27280197412</v>
      </c>
      <c r="B193" t="s">
        <v>66</v>
      </c>
      <c r="C193" s="33">
        <v>46130</v>
      </c>
      <c r="E193" s="35">
        <v>-252.64</v>
      </c>
      <c r="F193" s="35">
        <v>0</v>
      </c>
      <c r="G193" s="35">
        <f t="shared" si="2"/>
        <v>452277.08000000013</v>
      </c>
    </row>
    <row r="194" spans="1:7">
      <c r="A194" s="44">
        <v>329279906758</v>
      </c>
      <c r="B194" t="s">
        <v>110</v>
      </c>
      <c r="C194" s="33">
        <v>46131</v>
      </c>
      <c r="D194" t="s">
        <v>78</v>
      </c>
      <c r="E194" s="35">
        <v>-300000</v>
      </c>
      <c r="F194" s="35">
        <v>0</v>
      </c>
      <c r="G194" s="35">
        <f t="shared" si="2"/>
        <v>152277.08000000013</v>
      </c>
    </row>
    <row r="195" spans="1:7">
      <c r="A195" s="44">
        <v>676279906758</v>
      </c>
      <c r="B195" t="s">
        <v>63</v>
      </c>
      <c r="C195" s="33">
        <v>46131</v>
      </c>
      <c r="E195" s="35">
        <v>-750</v>
      </c>
      <c r="F195" s="35">
        <v>0</v>
      </c>
      <c r="G195" s="35">
        <f t="shared" si="2"/>
        <v>151527.08000000013</v>
      </c>
    </row>
    <row r="196" spans="1:7">
      <c r="A196" s="44">
        <v>50938869775</v>
      </c>
      <c r="B196" t="s">
        <v>70</v>
      </c>
      <c r="C196" s="33">
        <v>46131</v>
      </c>
      <c r="D196" t="s">
        <v>65</v>
      </c>
      <c r="E196" s="35">
        <v>0</v>
      </c>
      <c r="F196" s="35">
        <v>33685.24</v>
      </c>
      <c r="G196" s="35">
        <f t="shared" si="2"/>
        <v>185212.32000000012</v>
      </c>
    </row>
    <row r="197" spans="1:7">
      <c r="A197" s="44">
        <v>27238869775</v>
      </c>
      <c r="B197" t="s">
        <v>66</v>
      </c>
      <c r="C197" s="33">
        <v>46131</v>
      </c>
      <c r="E197" s="35">
        <v>-505.28</v>
      </c>
      <c r="F197" s="35">
        <v>0</v>
      </c>
      <c r="G197" s="35">
        <f t="shared" si="2"/>
        <v>184707.04000000012</v>
      </c>
    </row>
    <row r="198" spans="1:7">
      <c r="A198" s="44">
        <v>677231399144</v>
      </c>
      <c r="B198" t="s">
        <v>68</v>
      </c>
      <c r="C198" s="33">
        <v>46132</v>
      </c>
      <c r="D198" t="s">
        <v>65</v>
      </c>
      <c r="E198" s="35">
        <v>0</v>
      </c>
      <c r="F198" s="35">
        <v>38421</v>
      </c>
      <c r="G198" s="35">
        <f t="shared" si="2"/>
        <v>223128.04000000012</v>
      </c>
    </row>
    <row r="199" spans="1:7">
      <c r="A199" s="44">
        <v>210031399144</v>
      </c>
      <c r="B199" t="s">
        <v>69</v>
      </c>
      <c r="C199" s="33">
        <v>46132</v>
      </c>
      <c r="E199" s="35">
        <v>-576.30999999999995</v>
      </c>
      <c r="F199" s="35">
        <v>0</v>
      </c>
      <c r="G199" s="35">
        <f t="shared" ref="G199:G262" si="3">G198+E199+F199</f>
        <v>222551.73000000013</v>
      </c>
    </row>
    <row r="200" spans="1:7">
      <c r="A200" s="44">
        <v>50951797205</v>
      </c>
      <c r="B200" t="s">
        <v>67</v>
      </c>
      <c r="C200" s="33">
        <v>46132</v>
      </c>
      <c r="D200" t="s">
        <v>65</v>
      </c>
      <c r="E200" s="35">
        <v>0</v>
      </c>
      <c r="F200" s="35">
        <v>15000</v>
      </c>
      <c r="G200" s="35">
        <f t="shared" si="3"/>
        <v>237551.73000000013</v>
      </c>
    </row>
    <row r="201" spans="1:7">
      <c r="A201" s="44">
        <v>27251797205</v>
      </c>
      <c r="B201" t="s">
        <v>66</v>
      </c>
      <c r="C201" s="33">
        <v>46132</v>
      </c>
      <c r="E201" s="35">
        <v>-225</v>
      </c>
      <c r="F201" s="35">
        <v>0</v>
      </c>
      <c r="G201" s="35">
        <f t="shared" si="3"/>
        <v>237326.73000000013</v>
      </c>
    </row>
    <row r="202" spans="1:7">
      <c r="A202" s="44">
        <v>677231953803</v>
      </c>
      <c r="B202" t="s">
        <v>68</v>
      </c>
      <c r="C202" s="33">
        <v>46132</v>
      </c>
      <c r="D202" t="s">
        <v>65</v>
      </c>
      <c r="E202" s="35">
        <v>0</v>
      </c>
      <c r="F202" s="35">
        <v>33686</v>
      </c>
      <c r="G202" s="35">
        <f t="shared" si="3"/>
        <v>271012.7300000001</v>
      </c>
    </row>
    <row r="203" spans="1:7">
      <c r="A203" s="44">
        <v>210031953803</v>
      </c>
      <c r="B203" t="s">
        <v>69</v>
      </c>
      <c r="C203" s="33">
        <v>46132</v>
      </c>
      <c r="E203" s="35">
        <v>-505.29</v>
      </c>
      <c r="F203" s="35">
        <v>0</v>
      </c>
      <c r="G203" s="35">
        <f t="shared" si="3"/>
        <v>270507.44000000012</v>
      </c>
    </row>
    <row r="204" spans="1:7">
      <c r="A204" s="44">
        <v>50905474819</v>
      </c>
      <c r="B204" t="s">
        <v>64</v>
      </c>
      <c r="C204" s="33">
        <v>46132</v>
      </c>
      <c r="D204" t="s">
        <v>65</v>
      </c>
      <c r="E204" s="35">
        <v>0</v>
      </c>
      <c r="F204" s="35">
        <v>81807.399999999994</v>
      </c>
      <c r="G204" s="35">
        <f t="shared" si="3"/>
        <v>352314.84000000008</v>
      </c>
    </row>
    <row r="205" spans="1:7">
      <c r="A205" s="44">
        <v>27205474819</v>
      </c>
      <c r="B205" t="s">
        <v>66</v>
      </c>
      <c r="C205" s="33">
        <v>46132</v>
      </c>
      <c r="E205" s="35">
        <v>-1227.1099999999999</v>
      </c>
      <c r="F205" s="35">
        <v>0</v>
      </c>
      <c r="G205" s="35">
        <f t="shared" si="3"/>
        <v>351087.7300000001</v>
      </c>
    </row>
    <row r="206" spans="1:7">
      <c r="A206" s="44">
        <v>677232341595</v>
      </c>
      <c r="B206" t="s">
        <v>86</v>
      </c>
      <c r="C206" s="33">
        <v>46132</v>
      </c>
      <c r="D206" t="s">
        <v>65</v>
      </c>
      <c r="E206" s="35">
        <v>0</v>
      </c>
      <c r="F206" s="35">
        <v>48121.77</v>
      </c>
      <c r="G206" s="35">
        <f t="shared" si="3"/>
        <v>399209.50000000012</v>
      </c>
    </row>
    <row r="207" spans="1:7">
      <c r="A207" s="44">
        <v>210032341595</v>
      </c>
      <c r="B207" t="s">
        <v>69</v>
      </c>
      <c r="C207" s="33">
        <v>46132</v>
      </c>
      <c r="E207" s="35">
        <v>-721.83</v>
      </c>
      <c r="F207" s="35">
        <v>0</v>
      </c>
      <c r="G207" s="35">
        <f t="shared" si="3"/>
        <v>398487.6700000001</v>
      </c>
    </row>
    <row r="208" spans="1:7">
      <c r="A208" s="44">
        <v>50939839645</v>
      </c>
      <c r="B208" t="s">
        <v>70</v>
      </c>
      <c r="C208" s="33">
        <v>46132</v>
      </c>
      <c r="D208" t="s">
        <v>65</v>
      </c>
      <c r="E208" s="35">
        <v>0</v>
      </c>
      <c r="F208" s="35">
        <v>33685.24</v>
      </c>
      <c r="G208" s="35">
        <f t="shared" si="3"/>
        <v>432172.91000000009</v>
      </c>
    </row>
    <row r="209" spans="1:7">
      <c r="A209" s="44">
        <v>27239839645</v>
      </c>
      <c r="B209" t="s">
        <v>66</v>
      </c>
      <c r="C209" s="33">
        <v>46132</v>
      </c>
      <c r="E209" s="35">
        <v>-505.28</v>
      </c>
      <c r="F209" s="35">
        <v>0</v>
      </c>
      <c r="G209" s="35">
        <f t="shared" si="3"/>
        <v>431667.63000000006</v>
      </c>
    </row>
    <row r="210" spans="1:7">
      <c r="A210" s="44">
        <v>677232634558</v>
      </c>
      <c r="B210" t="s">
        <v>68</v>
      </c>
      <c r="C210" s="33">
        <v>46133</v>
      </c>
      <c r="D210" t="s">
        <v>65</v>
      </c>
      <c r="E210" s="35">
        <v>0</v>
      </c>
      <c r="F210" s="35">
        <v>24085</v>
      </c>
      <c r="G210" s="35">
        <f t="shared" si="3"/>
        <v>455752.63000000006</v>
      </c>
    </row>
    <row r="211" spans="1:7">
      <c r="A211" s="44">
        <v>210032634558</v>
      </c>
      <c r="B211" t="s">
        <v>69</v>
      </c>
      <c r="C211" s="33">
        <v>46133</v>
      </c>
      <c r="E211" s="35">
        <v>-361.28</v>
      </c>
      <c r="F211" s="35">
        <v>0</v>
      </c>
      <c r="G211" s="35">
        <f t="shared" si="3"/>
        <v>455391.35000000003</v>
      </c>
    </row>
    <row r="212" spans="1:7">
      <c r="A212" s="44">
        <v>329280046671</v>
      </c>
      <c r="B212" t="s">
        <v>111</v>
      </c>
      <c r="C212" s="33">
        <v>46133</v>
      </c>
      <c r="D212" t="s">
        <v>78</v>
      </c>
      <c r="E212" s="35">
        <v>-90000</v>
      </c>
      <c r="F212" s="35">
        <v>0</v>
      </c>
      <c r="G212" s="35">
        <f t="shared" si="3"/>
        <v>365391.35000000003</v>
      </c>
    </row>
    <row r="213" spans="1:7">
      <c r="A213" s="44">
        <v>676280046671</v>
      </c>
      <c r="B213" t="s">
        <v>63</v>
      </c>
      <c r="C213" s="33">
        <v>46133</v>
      </c>
      <c r="E213" s="35">
        <v>-225</v>
      </c>
      <c r="F213" s="35">
        <v>0</v>
      </c>
      <c r="G213" s="35">
        <f t="shared" si="3"/>
        <v>365166.35000000003</v>
      </c>
    </row>
    <row r="214" spans="1:7">
      <c r="A214" s="44">
        <v>50952095211</v>
      </c>
      <c r="B214" t="s">
        <v>67</v>
      </c>
      <c r="C214" s="33">
        <v>46133</v>
      </c>
      <c r="D214" t="s">
        <v>65</v>
      </c>
      <c r="E214" s="35">
        <v>0</v>
      </c>
      <c r="F214" s="35">
        <v>43350</v>
      </c>
      <c r="G214" s="35">
        <f t="shared" si="3"/>
        <v>408516.35000000003</v>
      </c>
    </row>
    <row r="215" spans="1:7">
      <c r="A215" s="44">
        <v>27252095211</v>
      </c>
      <c r="B215" t="s">
        <v>66</v>
      </c>
      <c r="C215" s="33">
        <v>46133</v>
      </c>
      <c r="E215" s="35">
        <v>-650.25</v>
      </c>
      <c r="F215" s="35">
        <v>0</v>
      </c>
      <c r="G215" s="35">
        <f t="shared" si="3"/>
        <v>407866.10000000003</v>
      </c>
    </row>
    <row r="216" spans="1:7">
      <c r="A216" s="44">
        <v>329280187413</v>
      </c>
      <c r="B216" t="s">
        <v>112</v>
      </c>
      <c r="C216" s="33">
        <v>46133</v>
      </c>
      <c r="D216" t="s">
        <v>78</v>
      </c>
      <c r="E216" s="35">
        <v>-25000</v>
      </c>
      <c r="F216" s="35">
        <v>0</v>
      </c>
      <c r="G216" s="35">
        <f t="shared" si="3"/>
        <v>382866.10000000003</v>
      </c>
    </row>
    <row r="217" spans="1:7">
      <c r="A217" s="44">
        <v>676280187413</v>
      </c>
      <c r="B217" t="s">
        <v>63</v>
      </c>
      <c r="C217" s="33">
        <v>46133</v>
      </c>
      <c r="E217" s="35">
        <v>-62.5</v>
      </c>
      <c r="F217" s="35">
        <v>0</v>
      </c>
      <c r="G217" s="35">
        <f t="shared" si="3"/>
        <v>382803.60000000003</v>
      </c>
    </row>
    <row r="218" spans="1:7">
      <c r="A218" s="44">
        <v>329280325234</v>
      </c>
      <c r="B218" t="s">
        <v>113</v>
      </c>
      <c r="C218" s="33">
        <v>46134</v>
      </c>
      <c r="D218" t="s">
        <v>78</v>
      </c>
      <c r="E218" s="35">
        <v>-60000</v>
      </c>
      <c r="F218" s="35">
        <v>0</v>
      </c>
      <c r="G218" s="35">
        <f t="shared" si="3"/>
        <v>322803.60000000003</v>
      </c>
    </row>
    <row r="219" spans="1:7">
      <c r="A219" s="44">
        <v>676280325234</v>
      </c>
      <c r="B219" t="s">
        <v>63</v>
      </c>
      <c r="C219" s="33">
        <v>46134</v>
      </c>
      <c r="E219" s="35">
        <v>-150</v>
      </c>
      <c r="F219" s="35">
        <v>0</v>
      </c>
      <c r="G219" s="35">
        <f t="shared" si="3"/>
        <v>322653.60000000003</v>
      </c>
    </row>
    <row r="220" spans="1:7">
      <c r="A220" s="44">
        <v>50952438004</v>
      </c>
      <c r="B220" t="s">
        <v>67</v>
      </c>
      <c r="C220" s="33">
        <v>46134</v>
      </c>
      <c r="D220" t="s">
        <v>65</v>
      </c>
      <c r="E220" s="35">
        <v>0</v>
      </c>
      <c r="F220" s="35">
        <v>8000</v>
      </c>
      <c r="G220" s="35">
        <f t="shared" si="3"/>
        <v>330653.60000000003</v>
      </c>
    </row>
    <row r="221" spans="1:7">
      <c r="A221" s="44">
        <v>27252438004</v>
      </c>
      <c r="B221" t="s">
        <v>66</v>
      </c>
      <c r="C221" s="33">
        <v>46134</v>
      </c>
      <c r="E221" s="35">
        <v>-120</v>
      </c>
      <c r="F221" s="35">
        <v>0</v>
      </c>
      <c r="G221" s="35">
        <f t="shared" si="3"/>
        <v>330533.60000000003</v>
      </c>
    </row>
    <row r="222" spans="1:7">
      <c r="A222" s="44">
        <v>50952438205</v>
      </c>
      <c r="B222" t="s">
        <v>67</v>
      </c>
      <c r="C222" s="33">
        <v>46134</v>
      </c>
      <c r="D222" t="s">
        <v>65</v>
      </c>
      <c r="E222" s="35">
        <v>0</v>
      </c>
      <c r="F222" s="35">
        <v>38650</v>
      </c>
      <c r="G222" s="35">
        <f t="shared" si="3"/>
        <v>369183.60000000003</v>
      </c>
    </row>
    <row r="223" spans="1:7">
      <c r="A223" s="44">
        <v>27252438205</v>
      </c>
      <c r="B223" t="s">
        <v>66</v>
      </c>
      <c r="C223" s="33">
        <v>46134</v>
      </c>
      <c r="E223" s="35">
        <v>-579.75</v>
      </c>
      <c r="F223" s="35">
        <v>0</v>
      </c>
      <c r="G223" s="35">
        <f t="shared" si="3"/>
        <v>368603.85000000003</v>
      </c>
    </row>
    <row r="224" spans="1:7">
      <c r="A224" s="44">
        <v>329280341780</v>
      </c>
      <c r="B224" t="s">
        <v>114</v>
      </c>
      <c r="C224" s="33">
        <v>46134</v>
      </c>
      <c r="D224" t="s">
        <v>78</v>
      </c>
      <c r="E224" s="35">
        <v>-20000</v>
      </c>
      <c r="F224" s="35">
        <v>0</v>
      </c>
      <c r="G224" s="35">
        <f t="shared" si="3"/>
        <v>348603.85000000003</v>
      </c>
    </row>
    <row r="225" spans="1:7">
      <c r="A225" s="44">
        <v>676280341780</v>
      </c>
      <c r="B225" t="s">
        <v>63</v>
      </c>
      <c r="C225" s="33">
        <v>46134</v>
      </c>
      <c r="E225" s="35">
        <v>-50</v>
      </c>
      <c r="F225" s="35">
        <v>0</v>
      </c>
      <c r="G225" s="35">
        <f t="shared" si="3"/>
        <v>348553.85000000003</v>
      </c>
    </row>
    <row r="226" spans="1:7">
      <c r="A226" s="44">
        <v>50921402393</v>
      </c>
      <c r="B226" t="s">
        <v>64</v>
      </c>
      <c r="C226" s="33">
        <v>46134</v>
      </c>
      <c r="D226" t="s">
        <v>65</v>
      </c>
      <c r="E226" s="35">
        <v>0</v>
      </c>
      <c r="F226" s="35">
        <v>43448.4</v>
      </c>
      <c r="G226" s="35">
        <f t="shared" si="3"/>
        <v>392002.25000000006</v>
      </c>
    </row>
    <row r="227" spans="1:7">
      <c r="A227" s="44">
        <v>27221402393</v>
      </c>
      <c r="B227" t="s">
        <v>66</v>
      </c>
      <c r="C227" s="33">
        <v>46134</v>
      </c>
      <c r="E227" s="35">
        <v>-651.73</v>
      </c>
      <c r="F227" s="35">
        <v>0</v>
      </c>
      <c r="G227" s="35">
        <f t="shared" si="3"/>
        <v>391350.52000000008</v>
      </c>
    </row>
    <row r="228" spans="1:7">
      <c r="A228" s="44">
        <v>50941661760</v>
      </c>
      <c r="B228" t="s">
        <v>70</v>
      </c>
      <c r="C228" s="33">
        <v>46134</v>
      </c>
      <c r="D228" t="s">
        <v>65</v>
      </c>
      <c r="E228" s="35">
        <v>0</v>
      </c>
      <c r="F228" s="35">
        <v>33793.1</v>
      </c>
      <c r="G228" s="35">
        <f t="shared" si="3"/>
        <v>425143.62000000005</v>
      </c>
    </row>
    <row r="229" spans="1:7">
      <c r="A229" s="44">
        <v>27241661760</v>
      </c>
      <c r="B229" t="s">
        <v>66</v>
      </c>
      <c r="C229" s="33">
        <v>46134</v>
      </c>
      <c r="E229" s="35">
        <v>-506.9</v>
      </c>
      <c r="F229" s="35">
        <v>0</v>
      </c>
      <c r="G229" s="35">
        <f t="shared" si="3"/>
        <v>424636.72000000003</v>
      </c>
    </row>
    <row r="230" spans="1:7">
      <c r="A230" s="44">
        <v>677237555030</v>
      </c>
      <c r="B230" t="s">
        <v>86</v>
      </c>
      <c r="C230" s="33">
        <v>46135</v>
      </c>
      <c r="D230" t="s">
        <v>65</v>
      </c>
      <c r="E230" s="35">
        <v>0</v>
      </c>
      <c r="F230" s="35">
        <v>48333.79</v>
      </c>
      <c r="G230" s="35">
        <f t="shared" si="3"/>
        <v>472970.51</v>
      </c>
    </row>
    <row r="231" spans="1:7">
      <c r="A231" s="44">
        <v>210037555030</v>
      </c>
      <c r="B231" t="s">
        <v>69</v>
      </c>
      <c r="C231" s="33">
        <v>46135</v>
      </c>
      <c r="E231" s="35">
        <v>-725.01</v>
      </c>
      <c r="F231" s="35">
        <v>0</v>
      </c>
      <c r="G231" s="35">
        <f t="shared" si="3"/>
        <v>472245.5</v>
      </c>
    </row>
    <row r="232" spans="1:7">
      <c r="A232" s="44">
        <v>677238168071</v>
      </c>
      <c r="B232" t="s">
        <v>68</v>
      </c>
      <c r="C232" s="33">
        <v>46135</v>
      </c>
      <c r="D232" t="s">
        <v>65</v>
      </c>
      <c r="E232" s="35">
        <v>0</v>
      </c>
      <c r="F232" s="35">
        <v>16920</v>
      </c>
      <c r="G232" s="35">
        <f t="shared" si="3"/>
        <v>489165.5</v>
      </c>
    </row>
    <row r="233" spans="1:7">
      <c r="A233" s="44">
        <v>210038168071</v>
      </c>
      <c r="B233" t="s">
        <v>69</v>
      </c>
      <c r="C233" s="33">
        <v>46135</v>
      </c>
      <c r="E233" s="35">
        <v>-253.8</v>
      </c>
      <c r="F233" s="35">
        <v>0</v>
      </c>
      <c r="G233" s="35">
        <f t="shared" si="3"/>
        <v>488911.7</v>
      </c>
    </row>
    <row r="234" spans="1:7">
      <c r="A234" s="44">
        <v>50942555340</v>
      </c>
      <c r="B234" t="s">
        <v>70</v>
      </c>
      <c r="C234" s="33">
        <v>46135</v>
      </c>
      <c r="D234" t="s">
        <v>65</v>
      </c>
      <c r="E234" s="35">
        <v>0</v>
      </c>
      <c r="F234" s="35">
        <v>29000.27</v>
      </c>
      <c r="G234" s="35">
        <f t="shared" si="3"/>
        <v>517911.97000000003</v>
      </c>
    </row>
    <row r="235" spans="1:7">
      <c r="A235" s="44">
        <v>27242555340</v>
      </c>
      <c r="B235" t="s">
        <v>66</v>
      </c>
      <c r="C235" s="33">
        <v>46135</v>
      </c>
      <c r="E235" s="35">
        <v>-435</v>
      </c>
      <c r="F235" s="35">
        <v>0</v>
      </c>
      <c r="G235" s="35">
        <f t="shared" si="3"/>
        <v>517476.97000000003</v>
      </c>
    </row>
    <row r="236" spans="1:7">
      <c r="A236" s="44">
        <v>50952846635</v>
      </c>
      <c r="B236" t="s">
        <v>67</v>
      </c>
      <c r="C236" s="33">
        <v>46136</v>
      </c>
      <c r="D236" t="s">
        <v>65</v>
      </c>
      <c r="E236" s="35">
        <v>0</v>
      </c>
      <c r="F236" s="35">
        <v>24190</v>
      </c>
      <c r="G236" s="35">
        <f t="shared" si="3"/>
        <v>541666.97</v>
      </c>
    </row>
    <row r="237" spans="1:7">
      <c r="A237" s="44">
        <v>27252846635</v>
      </c>
      <c r="B237" t="s">
        <v>66</v>
      </c>
      <c r="C237" s="33">
        <v>46136</v>
      </c>
      <c r="E237" s="35">
        <v>-362.85</v>
      </c>
      <c r="F237" s="35">
        <v>0</v>
      </c>
      <c r="G237" s="35">
        <f t="shared" si="3"/>
        <v>541304.12</v>
      </c>
    </row>
    <row r="238" spans="1:7">
      <c r="A238" s="44">
        <v>329283436432</v>
      </c>
      <c r="B238" t="s">
        <v>115</v>
      </c>
      <c r="C238" s="33">
        <v>46136</v>
      </c>
      <c r="D238" t="s">
        <v>78</v>
      </c>
      <c r="E238" s="35">
        <v>-20000</v>
      </c>
      <c r="F238" s="35">
        <v>0</v>
      </c>
      <c r="G238" s="35">
        <f t="shared" si="3"/>
        <v>521304.12</v>
      </c>
    </row>
    <row r="239" spans="1:7">
      <c r="A239" s="44">
        <v>676283436432</v>
      </c>
      <c r="B239" t="s">
        <v>63</v>
      </c>
      <c r="C239" s="33">
        <v>46136</v>
      </c>
      <c r="E239" s="35">
        <v>-50</v>
      </c>
      <c r="F239" s="35">
        <v>0</v>
      </c>
      <c r="G239" s="35">
        <f t="shared" si="3"/>
        <v>521254.12</v>
      </c>
    </row>
    <row r="240" spans="1:7">
      <c r="A240" s="44">
        <v>329283445939</v>
      </c>
      <c r="B240" t="s">
        <v>116</v>
      </c>
      <c r="C240" s="33">
        <v>46136</v>
      </c>
      <c r="D240" t="s">
        <v>78</v>
      </c>
      <c r="E240" s="35">
        <v>-19000</v>
      </c>
      <c r="F240" s="35">
        <v>0</v>
      </c>
      <c r="G240" s="35">
        <f t="shared" si="3"/>
        <v>502254.12</v>
      </c>
    </row>
    <row r="241" spans="1:7">
      <c r="A241" s="44">
        <v>676283445939</v>
      </c>
      <c r="B241" t="s">
        <v>63</v>
      </c>
      <c r="C241" s="33">
        <v>46136</v>
      </c>
      <c r="E241" s="35">
        <v>-47.5</v>
      </c>
      <c r="F241" s="35">
        <v>0</v>
      </c>
      <c r="G241" s="35">
        <f t="shared" si="3"/>
        <v>502206.62</v>
      </c>
    </row>
    <row r="242" spans="1:7">
      <c r="A242" s="44">
        <v>677239512662</v>
      </c>
      <c r="B242" t="s">
        <v>86</v>
      </c>
      <c r="C242" s="33">
        <v>46136</v>
      </c>
      <c r="D242" t="s">
        <v>65</v>
      </c>
      <c r="E242" s="35">
        <v>0</v>
      </c>
      <c r="F242" s="35">
        <v>35806.339999999997</v>
      </c>
      <c r="G242" s="35">
        <f t="shared" si="3"/>
        <v>538012.96</v>
      </c>
    </row>
    <row r="243" spans="1:7">
      <c r="A243" s="44">
        <v>210039512662</v>
      </c>
      <c r="B243" t="s">
        <v>69</v>
      </c>
      <c r="C243" s="33">
        <v>46136</v>
      </c>
      <c r="E243" s="35">
        <v>-537.1</v>
      </c>
      <c r="F243" s="35">
        <v>0</v>
      </c>
      <c r="G243" s="35">
        <f t="shared" si="3"/>
        <v>537475.86</v>
      </c>
    </row>
    <row r="244" spans="1:7">
      <c r="A244" s="44">
        <v>677239725744</v>
      </c>
      <c r="B244" t="s">
        <v>68</v>
      </c>
      <c r="C244" s="33">
        <v>46136</v>
      </c>
      <c r="D244" t="s">
        <v>65</v>
      </c>
      <c r="E244" s="35">
        <v>0</v>
      </c>
      <c r="F244" s="35">
        <v>19355</v>
      </c>
      <c r="G244" s="35">
        <f t="shared" si="3"/>
        <v>556830.86</v>
      </c>
    </row>
    <row r="245" spans="1:7">
      <c r="A245" s="44">
        <v>210039725744</v>
      </c>
      <c r="B245" t="s">
        <v>69</v>
      </c>
      <c r="C245" s="33">
        <v>46136</v>
      </c>
      <c r="E245" s="35">
        <v>-290.33</v>
      </c>
      <c r="F245" s="35">
        <v>0</v>
      </c>
      <c r="G245" s="35">
        <f t="shared" si="3"/>
        <v>556540.53</v>
      </c>
    </row>
    <row r="246" spans="1:7">
      <c r="A246" s="44">
        <v>50953040518</v>
      </c>
      <c r="B246" t="s">
        <v>67</v>
      </c>
      <c r="C246" s="33">
        <v>46136</v>
      </c>
      <c r="D246" t="s">
        <v>65</v>
      </c>
      <c r="E246" s="35">
        <v>0</v>
      </c>
      <c r="F246" s="35">
        <v>33870</v>
      </c>
      <c r="G246" s="35">
        <f t="shared" si="3"/>
        <v>590410.53</v>
      </c>
    </row>
    <row r="247" spans="1:7">
      <c r="A247" s="44">
        <v>27253040518</v>
      </c>
      <c r="B247" t="s">
        <v>66</v>
      </c>
      <c r="C247" s="33">
        <v>46136</v>
      </c>
      <c r="E247" s="35">
        <v>-508.05</v>
      </c>
      <c r="F247" s="35">
        <v>0</v>
      </c>
      <c r="G247" s="35">
        <f t="shared" si="3"/>
        <v>589902.48</v>
      </c>
    </row>
    <row r="248" spans="1:7">
      <c r="A248" s="44">
        <v>50948397333</v>
      </c>
      <c r="B248" t="s">
        <v>64</v>
      </c>
      <c r="C248" s="33">
        <v>46136</v>
      </c>
      <c r="D248" t="s">
        <v>65</v>
      </c>
      <c r="E248" s="35">
        <v>0</v>
      </c>
      <c r="F248" s="35">
        <v>29032.2</v>
      </c>
      <c r="G248" s="35">
        <f t="shared" si="3"/>
        <v>618934.67999999993</v>
      </c>
    </row>
    <row r="249" spans="1:7">
      <c r="A249" s="44">
        <v>27248397333</v>
      </c>
      <c r="B249" t="s">
        <v>66</v>
      </c>
      <c r="C249" s="33">
        <v>46136</v>
      </c>
      <c r="E249" s="35">
        <v>-435.48</v>
      </c>
      <c r="F249" s="35">
        <v>0</v>
      </c>
      <c r="G249" s="35">
        <f t="shared" si="3"/>
        <v>618499.19999999995</v>
      </c>
    </row>
    <row r="250" spans="1:7">
      <c r="A250" s="44">
        <v>677241473918</v>
      </c>
      <c r="B250" t="s">
        <v>68</v>
      </c>
      <c r="C250" s="33">
        <v>46137</v>
      </c>
      <c r="D250" t="s">
        <v>65</v>
      </c>
      <c r="E250" s="35">
        <v>0</v>
      </c>
      <c r="F250" s="35">
        <v>7258</v>
      </c>
      <c r="G250" s="35">
        <f t="shared" si="3"/>
        <v>625757.19999999995</v>
      </c>
    </row>
    <row r="251" spans="1:7">
      <c r="A251" s="44">
        <v>210041473918</v>
      </c>
      <c r="B251" t="s">
        <v>69</v>
      </c>
      <c r="C251" s="33">
        <v>46137</v>
      </c>
      <c r="E251" s="35">
        <v>-108.87</v>
      </c>
      <c r="F251" s="35">
        <v>0</v>
      </c>
      <c r="G251" s="35">
        <f t="shared" si="3"/>
        <v>625648.32999999996</v>
      </c>
    </row>
    <row r="252" spans="1:7">
      <c r="A252" s="44">
        <v>677242545950</v>
      </c>
      <c r="B252" t="s">
        <v>86</v>
      </c>
      <c r="C252" s="33">
        <v>46137</v>
      </c>
      <c r="D252" t="s">
        <v>65</v>
      </c>
      <c r="E252" s="35">
        <v>0</v>
      </c>
      <c r="F252" s="35">
        <v>39748.71</v>
      </c>
      <c r="G252" s="35">
        <f t="shared" si="3"/>
        <v>665397.03999999992</v>
      </c>
    </row>
    <row r="253" spans="1:7">
      <c r="A253" s="44">
        <v>210042545950</v>
      </c>
      <c r="B253" t="s">
        <v>69</v>
      </c>
      <c r="C253" s="33">
        <v>46137</v>
      </c>
      <c r="E253" s="35">
        <v>-596.23</v>
      </c>
      <c r="F253" s="35">
        <v>0</v>
      </c>
      <c r="G253" s="35">
        <f t="shared" si="3"/>
        <v>664800.80999999994</v>
      </c>
    </row>
    <row r="254" spans="1:7">
      <c r="A254" s="44">
        <v>50944678610</v>
      </c>
      <c r="B254" t="s">
        <v>108</v>
      </c>
      <c r="C254" s="33">
        <v>46137</v>
      </c>
      <c r="D254" t="s">
        <v>65</v>
      </c>
      <c r="E254" s="35">
        <v>0</v>
      </c>
      <c r="F254" s="35">
        <v>33931.83</v>
      </c>
      <c r="G254" s="35">
        <f t="shared" si="3"/>
        <v>698732.6399999999</v>
      </c>
    </row>
    <row r="255" spans="1:7">
      <c r="A255" s="44">
        <v>27244678610</v>
      </c>
      <c r="B255" t="s">
        <v>66</v>
      </c>
      <c r="C255" s="33">
        <v>46137</v>
      </c>
      <c r="E255" s="35">
        <v>-508.98</v>
      </c>
      <c r="F255" s="35">
        <v>0</v>
      </c>
      <c r="G255" s="35">
        <f t="shared" si="3"/>
        <v>698223.65999999992</v>
      </c>
    </row>
    <row r="256" spans="1:7">
      <c r="A256" s="44">
        <v>329283549651</v>
      </c>
      <c r="B256" t="s">
        <v>117</v>
      </c>
      <c r="C256" s="33">
        <v>46138</v>
      </c>
      <c r="D256" t="s">
        <v>78</v>
      </c>
      <c r="E256" s="35">
        <v>-70000</v>
      </c>
      <c r="F256" s="35">
        <v>0</v>
      </c>
      <c r="G256" s="35">
        <f t="shared" si="3"/>
        <v>628223.65999999992</v>
      </c>
    </row>
    <row r="257" spans="1:7">
      <c r="A257" s="44">
        <v>676283549651</v>
      </c>
      <c r="B257" t="s">
        <v>63</v>
      </c>
      <c r="C257" s="33">
        <v>46138</v>
      </c>
      <c r="E257" s="35">
        <v>-175</v>
      </c>
      <c r="F257" s="35">
        <v>0</v>
      </c>
      <c r="G257" s="35">
        <f t="shared" si="3"/>
        <v>628048.65999999992</v>
      </c>
    </row>
    <row r="258" spans="1:7">
      <c r="A258" s="44">
        <v>677243520689</v>
      </c>
      <c r="B258" t="s">
        <v>68</v>
      </c>
      <c r="C258" s="33">
        <v>46138</v>
      </c>
      <c r="D258" t="s">
        <v>65</v>
      </c>
      <c r="E258" s="35">
        <v>0</v>
      </c>
      <c r="F258" s="35">
        <v>19355</v>
      </c>
      <c r="G258" s="35">
        <f t="shared" si="3"/>
        <v>647403.65999999992</v>
      </c>
    </row>
    <row r="259" spans="1:7">
      <c r="A259" s="44">
        <v>210043520689</v>
      </c>
      <c r="B259" t="s">
        <v>69</v>
      </c>
      <c r="C259" s="33">
        <v>46138</v>
      </c>
      <c r="E259" s="35">
        <v>-290.33</v>
      </c>
      <c r="F259" s="35">
        <v>0</v>
      </c>
      <c r="G259" s="35">
        <f t="shared" si="3"/>
        <v>647113.32999999996</v>
      </c>
    </row>
    <row r="260" spans="1:7">
      <c r="A260" s="44">
        <v>50963043965</v>
      </c>
      <c r="B260" t="s">
        <v>64</v>
      </c>
      <c r="C260" s="33">
        <v>46138</v>
      </c>
      <c r="D260" t="s">
        <v>65</v>
      </c>
      <c r="E260" s="35">
        <v>0</v>
      </c>
      <c r="F260" s="35">
        <v>38780</v>
      </c>
      <c r="G260" s="35">
        <f t="shared" si="3"/>
        <v>685893.33</v>
      </c>
    </row>
    <row r="261" spans="1:7">
      <c r="A261" s="44">
        <v>27263043965</v>
      </c>
      <c r="B261" t="s">
        <v>66</v>
      </c>
      <c r="C261" s="33">
        <v>46138</v>
      </c>
      <c r="E261" s="35">
        <v>-581.70000000000005</v>
      </c>
      <c r="F261" s="35">
        <v>0</v>
      </c>
      <c r="G261" s="35">
        <f t="shared" si="3"/>
        <v>685311.63</v>
      </c>
    </row>
    <row r="262" spans="1:7">
      <c r="A262" s="44">
        <v>677243725675</v>
      </c>
      <c r="B262" t="s">
        <v>86</v>
      </c>
      <c r="C262" s="33">
        <v>46138</v>
      </c>
      <c r="D262" t="s">
        <v>65</v>
      </c>
      <c r="E262" s="35">
        <v>0</v>
      </c>
      <c r="F262" s="35">
        <v>25691.24</v>
      </c>
      <c r="G262" s="35">
        <f t="shared" si="3"/>
        <v>711002.87</v>
      </c>
    </row>
    <row r="263" spans="1:7">
      <c r="A263" s="44">
        <v>210043725675</v>
      </c>
      <c r="B263" t="s">
        <v>69</v>
      </c>
      <c r="C263" s="33">
        <v>46138</v>
      </c>
      <c r="E263" s="35">
        <v>-385.37</v>
      </c>
      <c r="F263" s="35">
        <v>0</v>
      </c>
      <c r="G263" s="35">
        <f t="shared" ref="G263:G326" si="4">G262+E263+F263</f>
        <v>710617.5</v>
      </c>
    </row>
    <row r="264" spans="1:7">
      <c r="A264" s="44">
        <v>677244359359</v>
      </c>
      <c r="B264" t="s">
        <v>68</v>
      </c>
      <c r="C264" s="33">
        <v>46138</v>
      </c>
      <c r="D264" t="s">
        <v>65</v>
      </c>
      <c r="E264" s="35">
        <v>0</v>
      </c>
      <c r="F264" s="35">
        <v>7258</v>
      </c>
      <c r="G264" s="35">
        <f t="shared" si="4"/>
        <v>717875.5</v>
      </c>
    </row>
    <row r="265" spans="1:7">
      <c r="A265" s="44">
        <v>210044359359</v>
      </c>
      <c r="B265" t="s">
        <v>69</v>
      </c>
      <c r="C265" s="33">
        <v>46138</v>
      </c>
      <c r="E265" s="35">
        <v>-108.87</v>
      </c>
      <c r="F265" s="35">
        <v>0</v>
      </c>
      <c r="G265" s="35">
        <f t="shared" si="4"/>
        <v>717766.63</v>
      </c>
    </row>
    <row r="266" spans="1:7">
      <c r="A266" s="44">
        <v>677244412130</v>
      </c>
      <c r="B266" t="s">
        <v>68</v>
      </c>
      <c r="C266" s="33">
        <v>46138</v>
      </c>
      <c r="D266" t="s">
        <v>65</v>
      </c>
      <c r="E266" s="35">
        <v>0</v>
      </c>
      <c r="F266" s="35">
        <v>4839</v>
      </c>
      <c r="G266" s="35">
        <f t="shared" si="4"/>
        <v>722605.63</v>
      </c>
    </row>
    <row r="267" spans="1:7">
      <c r="A267" s="44">
        <v>210044412130</v>
      </c>
      <c r="B267" t="s">
        <v>69</v>
      </c>
      <c r="C267" s="33">
        <v>46138</v>
      </c>
      <c r="E267" s="35">
        <v>-72.59</v>
      </c>
      <c r="F267" s="35">
        <v>0</v>
      </c>
      <c r="G267" s="35">
        <f t="shared" si="4"/>
        <v>722533.04</v>
      </c>
    </row>
    <row r="268" spans="1:7">
      <c r="A268" s="44">
        <v>50953712895</v>
      </c>
      <c r="B268" t="s">
        <v>67</v>
      </c>
      <c r="C268" s="33">
        <v>46138</v>
      </c>
      <c r="D268" t="s">
        <v>65</v>
      </c>
      <c r="E268" s="35">
        <v>0</v>
      </c>
      <c r="F268" s="35">
        <v>19400</v>
      </c>
      <c r="G268" s="35">
        <f t="shared" si="4"/>
        <v>741933.04</v>
      </c>
    </row>
    <row r="269" spans="1:7">
      <c r="A269" s="44">
        <v>27253712895</v>
      </c>
      <c r="B269" t="s">
        <v>66</v>
      </c>
      <c r="C269" s="33">
        <v>46138</v>
      </c>
      <c r="E269" s="35">
        <v>-291</v>
      </c>
      <c r="F269" s="35">
        <v>0</v>
      </c>
      <c r="G269" s="35">
        <f t="shared" si="4"/>
        <v>741642.04</v>
      </c>
    </row>
    <row r="270" spans="1:7">
      <c r="A270" s="44">
        <v>329283573359</v>
      </c>
      <c r="B270" t="s">
        <v>117</v>
      </c>
      <c r="C270" s="33">
        <v>46139</v>
      </c>
      <c r="D270" t="s">
        <v>78</v>
      </c>
      <c r="E270" s="35">
        <v>-15000</v>
      </c>
      <c r="F270" s="35">
        <v>0</v>
      </c>
      <c r="G270" s="35">
        <f t="shared" si="4"/>
        <v>726642.04</v>
      </c>
    </row>
    <row r="271" spans="1:7">
      <c r="A271" s="44">
        <v>676283573359</v>
      </c>
      <c r="B271" t="s">
        <v>63</v>
      </c>
      <c r="C271" s="33">
        <v>46139</v>
      </c>
      <c r="E271" s="35">
        <v>-37.5</v>
      </c>
      <c r="F271" s="35">
        <v>0</v>
      </c>
      <c r="G271" s="35">
        <f t="shared" si="4"/>
        <v>726604.54</v>
      </c>
    </row>
    <row r="272" spans="1:7">
      <c r="A272" s="44">
        <v>329283596316</v>
      </c>
      <c r="B272" t="s">
        <v>118</v>
      </c>
      <c r="C272" s="33">
        <v>46139</v>
      </c>
      <c r="D272" t="s">
        <v>78</v>
      </c>
      <c r="E272" s="35">
        <v>-313000</v>
      </c>
      <c r="F272" s="35">
        <v>0</v>
      </c>
      <c r="G272" s="35">
        <f t="shared" si="4"/>
        <v>413604.54000000004</v>
      </c>
    </row>
    <row r="273" spans="1:7">
      <c r="A273" s="44">
        <v>676283596316</v>
      </c>
      <c r="B273" t="s">
        <v>63</v>
      </c>
      <c r="C273" s="33">
        <v>46139</v>
      </c>
      <c r="E273" s="35">
        <v>-782.5</v>
      </c>
      <c r="F273" s="35">
        <v>0</v>
      </c>
      <c r="G273" s="35">
        <f t="shared" si="4"/>
        <v>412822.04000000004</v>
      </c>
    </row>
    <row r="274" spans="1:7">
      <c r="A274" s="44">
        <v>329283613194</v>
      </c>
      <c r="B274" t="s">
        <v>119</v>
      </c>
      <c r="C274" s="33">
        <v>46139</v>
      </c>
      <c r="D274" t="s">
        <v>78</v>
      </c>
      <c r="E274" s="35">
        <v>-30000</v>
      </c>
      <c r="F274" s="35">
        <v>0</v>
      </c>
      <c r="G274" s="35">
        <f t="shared" si="4"/>
        <v>382822.04000000004</v>
      </c>
    </row>
    <row r="275" spans="1:7">
      <c r="A275" s="44">
        <v>676283613194</v>
      </c>
      <c r="B275" t="s">
        <v>63</v>
      </c>
      <c r="C275" s="33">
        <v>46139</v>
      </c>
      <c r="E275" s="35">
        <v>-75</v>
      </c>
      <c r="F275" s="35">
        <v>0</v>
      </c>
      <c r="G275" s="35">
        <f t="shared" si="4"/>
        <v>382747.04000000004</v>
      </c>
    </row>
    <row r="276" spans="1:7">
      <c r="A276" s="44">
        <v>50976057899</v>
      </c>
      <c r="B276" t="s">
        <v>64</v>
      </c>
      <c r="C276" s="33">
        <v>46139</v>
      </c>
      <c r="D276" t="s">
        <v>65</v>
      </c>
      <c r="E276" s="35">
        <v>0</v>
      </c>
      <c r="F276" s="35">
        <v>22298</v>
      </c>
      <c r="G276" s="35">
        <f t="shared" si="4"/>
        <v>405045.04000000004</v>
      </c>
    </row>
    <row r="277" spans="1:7">
      <c r="A277" s="44">
        <v>27276057899</v>
      </c>
      <c r="B277" t="s">
        <v>66</v>
      </c>
      <c r="C277" s="33">
        <v>46139</v>
      </c>
      <c r="E277" s="35">
        <v>-334.47</v>
      </c>
      <c r="F277" s="35">
        <v>0</v>
      </c>
      <c r="G277" s="35">
        <f t="shared" si="4"/>
        <v>404710.57000000007</v>
      </c>
    </row>
    <row r="278" spans="1:7">
      <c r="A278" s="44">
        <v>50953891423</v>
      </c>
      <c r="B278" t="s">
        <v>67</v>
      </c>
      <c r="C278" s="33">
        <v>46139</v>
      </c>
      <c r="D278" t="s">
        <v>65</v>
      </c>
      <c r="E278" s="35">
        <v>0</v>
      </c>
      <c r="F278" s="35">
        <v>24200</v>
      </c>
      <c r="G278" s="35">
        <f t="shared" si="4"/>
        <v>428910.57000000007</v>
      </c>
    </row>
    <row r="279" spans="1:7">
      <c r="A279" s="44">
        <v>27253891423</v>
      </c>
      <c r="B279" t="s">
        <v>66</v>
      </c>
      <c r="C279" s="33">
        <v>46139</v>
      </c>
      <c r="E279" s="35">
        <v>-363</v>
      </c>
      <c r="F279" s="35">
        <v>0</v>
      </c>
      <c r="G279" s="35">
        <f t="shared" si="4"/>
        <v>428547.57000000007</v>
      </c>
    </row>
    <row r="280" spans="1:7">
      <c r="A280" s="44">
        <v>677245971014</v>
      </c>
      <c r="B280" t="s">
        <v>68</v>
      </c>
      <c r="C280" s="33">
        <v>46139</v>
      </c>
      <c r="D280" t="s">
        <v>65</v>
      </c>
      <c r="E280" s="35">
        <v>0</v>
      </c>
      <c r="F280" s="35">
        <v>26661</v>
      </c>
      <c r="G280" s="35">
        <f t="shared" si="4"/>
        <v>455208.57000000007</v>
      </c>
    </row>
    <row r="281" spans="1:7">
      <c r="A281" s="44">
        <v>210045971014</v>
      </c>
      <c r="B281" t="s">
        <v>69</v>
      </c>
      <c r="C281" s="33">
        <v>46139</v>
      </c>
      <c r="E281" s="35">
        <v>-399.91</v>
      </c>
      <c r="F281" s="35">
        <v>0</v>
      </c>
      <c r="G281" s="35">
        <f t="shared" si="4"/>
        <v>454808.66000000009</v>
      </c>
    </row>
    <row r="282" spans="1:7">
      <c r="A282" s="44">
        <v>50953969381</v>
      </c>
      <c r="B282" t="s">
        <v>67</v>
      </c>
      <c r="C282" s="33">
        <v>46139</v>
      </c>
      <c r="D282" t="s">
        <v>65</v>
      </c>
      <c r="E282" s="35">
        <v>0</v>
      </c>
      <c r="F282" s="35">
        <v>9700</v>
      </c>
      <c r="G282" s="35">
        <f t="shared" si="4"/>
        <v>464508.66000000009</v>
      </c>
    </row>
    <row r="283" spans="1:7">
      <c r="A283" s="44">
        <v>27253969381</v>
      </c>
      <c r="B283" t="s">
        <v>66</v>
      </c>
      <c r="C283" s="33">
        <v>46139</v>
      </c>
      <c r="E283" s="35">
        <v>-145.5</v>
      </c>
      <c r="F283" s="35">
        <v>0</v>
      </c>
      <c r="G283" s="35">
        <f t="shared" si="4"/>
        <v>464363.16000000009</v>
      </c>
    </row>
    <row r="284" spans="1:7">
      <c r="A284" s="44">
        <v>677246191052</v>
      </c>
      <c r="B284" t="s">
        <v>86</v>
      </c>
      <c r="C284" s="33">
        <v>46139</v>
      </c>
      <c r="D284" t="s">
        <v>65</v>
      </c>
      <c r="E284" s="35">
        <v>0</v>
      </c>
      <c r="F284" s="35">
        <v>29569.16</v>
      </c>
      <c r="G284" s="35">
        <f t="shared" si="4"/>
        <v>493932.32000000007</v>
      </c>
    </row>
    <row r="285" spans="1:7">
      <c r="A285" s="44">
        <v>210046191052</v>
      </c>
      <c r="B285" t="s">
        <v>69</v>
      </c>
      <c r="C285" s="33">
        <v>46139</v>
      </c>
      <c r="E285" s="35">
        <v>-443.54</v>
      </c>
      <c r="F285" s="35">
        <v>0</v>
      </c>
      <c r="G285" s="35">
        <f t="shared" si="4"/>
        <v>493488.78000000009</v>
      </c>
    </row>
    <row r="286" spans="1:7">
      <c r="A286" s="44">
        <v>329283680541</v>
      </c>
      <c r="B286" t="s">
        <v>120</v>
      </c>
      <c r="C286" s="33">
        <v>46139</v>
      </c>
      <c r="D286" t="s">
        <v>78</v>
      </c>
      <c r="E286" s="35">
        <v>-21000</v>
      </c>
      <c r="F286" s="35">
        <v>0</v>
      </c>
      <c r="G286" s="35">
        <f t="shared" si="4"/>
        <v>472488.78000000009</v>
      </c>
    </row>
    <row r="287" spans="1:7">
      <c r="A287" s="44">
        <v>676283680541</v>
      </c>
      <c r="B287" t="s">
        <v>63</v>
      </c>
      <c r="C287" s="33">
        <v>46139</v>
      </c>
      <c r="E287" s="35">
        <v>-52.5</v>
      </c>
      <c r="F287" s="35">
        <v>0</v>
      </c>
      <c r="G287" s="35">
        <f t="shared" si="4"/>
        <v>472436.28000000009</v>
      </c>
    </row>
    <row r="288" spans="1:7">
      <c r="A288" s="44">
        <v>677246279988</v>
      </c>
      <c r="B288" t="s">
        <v>68</v>
      </c>
      <c r="C288" s="33">
        <v>46139</v>
      </c>
      <c r="D288" t="s">
        <v>65</v>
      </c>
      <c r="E288" s="35">
        <v>0</v>
      </c>
      <c r="F288" s="35">
        <v>9695</v>
      </c>
      <c r="G288" s="35">
        <f t="shared" si="4"/>
        <v>482131.28000000009</v>
      </c>
    </row>
    <row r="289" spans="1:7">
      <c r="A289" s="44">
        <v>210046279988</v>
      </c>
      <c r="B289" t="s">
        <v>69</v>
      </c>
      <c r="C289" s="33">
        <v>46139</v>
      </c>
      <c r="E289" s="35">
        <v>-145.41999999999999</v>
      </c>
      <c r="F289" s="35">
        <v>0</v>
      </c>
      <c r="G289" s="35">
        <f t="shared" si="4"/>
        <v>481985.8600000001</v>
      </c>
    </row>
    <row r="290" spans="1:7">
      <c r="A290" s="44">
        <v>50946325081</v>
      </c>
      <c r="B290" t="s">
        <v>70</v>
      </c>
      <c r="C290" s="33">
        <v>46139</v>
      </c>
      <c r="D290" t="s">
        <v>65</v>
      </c>
      <c r="E290" s="35">
        <v>0</v>
      </c>
      <c r="F290" s="35">
        <v>29084.42</v>
      </c>
      <c r="G290" s="35">
        <f t="shared" si="4"/>
        <v>511070.28000000009</v>
      </c>
    </row>
    <row r="291" spans="1:7">
      <c r="A291" s="44">
        <v>27246325081</v>
      </c>
      <c r="B291" t="s">
        <v>66</v>
      </c>
      <c r="C291" s="33">
        <v>46139</v>
      </c>
      <c r="E291" s="35">
        <v>-436.27</v>
      </c>
      <c r="F291" s="35">
        <v>0</v>
      </c>
      <c r="G291" s="35">
        <f t="shared" si="4"/>
        <v>510634.01000000007</v>
      </c>
    </row>
    <row r="292" spans="1:7">
      <c r="A292" s="44">
        <v>329283705941</v>
      </c>
      <c r="B292" t="s">
        <v>121</v>
      </c>
      <c r="C292" s="33">
        <v>46140</v>
      </c>
      <c r="D292" t="s">
        <v>78</v>
      </c>
      <c r="E292" s="35">
        <v>-40000</v>
      </c>
      <c r="F292" s="35">
        <v>0</v>
      </c>
      <c r="G292" s="35">
        <f t="shared" si="4"/>
        <v>470634.01000000007</v>
      </c>
    </row>
    <row r="293" spans="1:7">
      <c r="A293" s="44">
        <v>676283705941</v>
      </c>
      <c r="B293" t="s">
        <v>63</v>
      </c>
      <c r="C293" s="33">
        <v>46140</v>
      </c>
      <c r="E293" s="35">
        <v>-100</v>
      </c>
      <c r="F293" s="35">
        <v>0</v>
      </c>
      <c r="G293" s="35">
        <f t="shared" si="4"/>
        <v>470534.01000000007</v>
      </c>
    </row>
    <row r="294" spans="1:7">
      <c r="A294" s="44">
        <v>329283821090</v>
      </c>
      <c r="B294" t="s">
        <v>122</v>
      </c>
      <c r="C294" s="33">
        <v>46140</v>
      </c>
      <c r="D294" t="s">
        <v>78</v>
      </c>
      <c r="E294" s="35">
        <v>-25000</v>
      </c>
      <c r="F294" s="35">
        <v>0</v>
      </c>
      <c r="G294" s="35">
        <f t="shared" si="4"/>
        <v>445534.01000000007</v>
      </c>
    </row>
    <row r="295" spans="1:7">
      <c r="A295" s="44">
        <v>676283821090</v>
      </c>
      <c r="B295" t="s">
        <v>63</v>
      </c>
      <c r="C295" s="33">
        <v>46140</v>
      </c>
      <c r="E295" s="35">
        <v>-62.5</v>
      </c>
      <c r="F295" s="35">
        <v>0</v>
      </c>
      <c r="G295" s="35">
        <f t="shared" si="4"/>
        <v>445471.51000000007</v>
      </c>
    </row>
    <row r="296" spans="1:7">
      <c r="A296" s="44">
        <v>50954150599</v>
      </c>
      <c r="B296" t="s">
        <v>67</v>
      </c>
      <c r="C296" s="33">
        <v>46140</v>
      </c>
      <c r="D296" t="s">
        <v>65</v>
      </c>
      <c r="E296" s="35">
        <v>0</v>
      </c>
      <c r="F296" s="35">
        <v>2000</v>
      </c>
      <c r="G296" s="35">
        <f t="shared" si="4"/>
        <v>447471.51000000007</v>
      </c>
    </row>
    <row r="297" spans="1:7">
      <c r="A297" s="44">
        <v>27254150599</v>
      </c>
      <c r="B297" t="s">
        <v>66</v>
      </c>
      <c r="C297" s="33">
        <v>46140</v>
      </c>
      <c r="E297" s="35">
        <v>-30</v>
      </c>
      <c r="F297" s="35">
        <v>0</v>
      </c>
      <c r="G297" s="35">
        <f t="shared" si="4"/>
        <v>447441.51000000007</v>
      </c>
    </row>
    <row r="298" spans="1:7">
      <c r="A298" s="44">
        <v>329283849622</v>
      </c>
      <c r="B298" t="s">
        <v>123</v>
      </c>
      <c r="C298" s="33">
        <v>46140</v>
      </c>
      <c r="D298" t="s">
        <v>78</v>
      </c>
      <c r="E298" s="35">
        <v>-15000</v>
      </c>
      <c r="F298" s="35">
        <v>0</v>
      </c>
      <c r="G298" s="35">
        <f t="shared" si="4"/>
        <v>432441.51000000007</v>
      </c>
    </row>
    <row r="299" spans="1:7">
      <c r="A299" s="44">
        <v>676283849622</v>
      </c>
      <c r="B299" t="s">
        <v>63</v>
      </c>
      <c r="C299" s="33">
        <v>46140</v>
      </c>
      <c r="E299" s="35">
        <v>-37.5</v>
      </c>
      <c r="F299" s="35">
        <v>0</v>
      </c>
      <c r="G299" s="35">
        <f t="shared" si="4"/>
        <v>432404.01000000007</v>
      </c>
    </row>
    <row r="300" spans="1:7">
      <c r="A300" s="44">
        <v>50989947594</v>
      </c>
      <c r="B300" t="s">
        <v>64</v>
      </c>
      <c r="C300" s="33">
        <v>46140</v>
      </c>
      <c r="D300" t="s">
        <v>65</v>
      </c>
      <c r="E300" s="35">
        <v>0</v>
      </c>
      <c r="F300" s="35">
        <v>29114</v>
      </c>
      <c r="G300" s="35">
        <f t="shared" si="4"/>
        <v>461518.01000000007</v>
      </c>
    </row>
    <row r="301" spans="1:7">
      <c r="A301" s="44">
        <v>27289947594</v>
      </c>
      <c r="B301" t="s">
        <v>66</v>
      </c>
      <c r="C301" s="33">
        <v>46140</v>
      </c>
      <c r="E301" s="35">
        <v>-436.71</v>
      </c>
      <c r="F301" s="35">
        <v>0</v>
      </c>
      <c r="G301" s="35">
        <f t="shared" si="4"/>
        <v>461081.30000000005</v>
      </c>
    </row>
    <row r="302" spans="1:7">
      <c r="A302" s="44">
        <v>50954275722</v>
      </c>
      <c r="B302" t="s">
        <v>67</v>
      </c>
      <c r="C302" s="33">
        <v>46140</v>
      </c>
      <c r="D302" t="s">
        <v>65</v>
      </c>
      <c r="E302" s="35">
        <v>0</v>
      </c>
      <c r="F302" s="35">
        <v>17400</v>
      </c>
      <c r="G302" s="35">
        <f t="shared" si="4"/>
        <v>478481.30000000005</v>
      </c>
    </row>
    <row r="303" spans="1:7">
      <c r="A303" s="44">
        <v>27254275722</v>
      </c>
      <c r="B303" t="s">
        <v>66</v>
      </c>
      <c r="C303" s="33">
        <v>46140</v>
      </c>
      <c r="E303" s="35">
        <v>-261</v>
      </c>
      <c r="F303" s="35">
        <v>0</v>
      </c>
      <c r="G303" s="35">
        <f t="shared" si="4"/>
        <v>478220.30000000005</v>
      </c>
    </row>
    <row r="304" spans="1:7">
      <c r="A304" s="44">
        <v>677248247579</v>
      </c>
      <c r="B304" t="s">
        <v>86</v>
      </c>
      <c r="C304" s="33">
        <v>46140</v>
      </c>
      <c r="D304" t="s">
        <v>65</v>
      </c>
      <c r="E304" s="35">
        <v>0</v>
      </c>
      <c r="F304" s="35">
        <v>67048.399999999994</v>
      </c>
      <c r="G304" s="35">
        <f t="shared" si="4"/>
        <v>545268.70000000007</v>
      </c>
    </row>
    <row r="305" spans="1:7">
      <c r="A305" s="44">
        <v>210048247579</v>
      </c>
      <c r="B305" t="s">
        <v>69</v>
      </c>
      <c r="C305" s="33">
        <v>46140</v>
      </c>
      <c r="E305" s="35">
        <v>-1005.73</v>
      </c>
      <c r="F305" s="35">
        <v>0</v>
      </c>
      <c r="G305" s="35">
        <f t="shared" si="4"/>
        <v>544262.97000000009</v>
      </c>
    </row>
    <row r="306" spans="1:7">
      <c r="A306" s="44">
        <v>677248287635</v>
      </c>
      <c r="B306" t="s">
        <v>68</v>
      </c>
      <c r="C306" s="33">
        <v>46140</v>
      </c>
      <c r="D306" t="s">
        <v>65</v>
      </c>
      <c r="E306" s="35">
        <v>0</v>
      </c>
      <c r="F306" s="35">
        <v>9705</v>
      </c>
      <c r="G306" s="35">
        <f t="shared" si="4"/>
        <v>553967.97000000009</v>
      </c>
    </row>
    <row r="307" spans="1:7">
      <c r="A307" s="44">
        <v>210048287635</v>
      </c>
      <c r="B307" t="s">
        <v>69</v>
      </c>
      <c r="C307" s="33">
        <v>46140</v>
      </c>
      <c r="E307" s="35">
        <v>-145.58000000000001</v>
      </c>
      <c r="F307" s="35">
        <v>0</v>
      </c>
      <c r="G307" s="35">
        <f t="shared" si="4"/>
        <v>553822.39000000013</v>
      </c>
    </row>
    <row r="308" spans="1:7">
      <c r="A308" s="44">
        <v>50947205873</v>
      </c>
      <c r="B308" t="s">
        <v>70</v>
      </c>
      <c r="C308" s="33">
        <v>46140</v>
      </c>
      <c r="D308" t="s">
        <v>65</v>
      </c>
      <c r="E308" s="35">
        <v>0</v>
      </c>
      <c r="F308" s="35">
        <v>29113.51</v>
      </c>
      <c r="G308" s="35">
        <f t="shared" si="4"/>
        <v>582935.90000000014</v>
      </c>
    </row>
    <row r="309" spans="1:7">
      <c r="A309" s="44">
        <v>27247205873</v>
      </c>
      <c r="B309" t="s">
        <v>66</v>
      </c>
      <c r="C309" s="33">
        <v>46140</v>
      </c>
      <c r="E309" s="35">
        <v>-436.7</v>
      </c>
      <c r="F309" s="35">
        <v>0</v>
      </c>
      <c r="G309" s="35">
        <f t="shared" si="4"/>
        <v>582499.20000000019</v>
      </c>
    </row>
    <row r="310" spans="1:7">
      <c r="A310" s="44">
        <v>329284004563</v>
      </c>
      <c r="B310" t="s">
        <v>124</v>
      </c>
      <c r="C310" s="33">
        <v>46141</v>
      </c>
      <c r="D310" t="s">
        <v>78</v>
      </c>
      <c r="E310" s="35">
        <v>-20000</v>
      </c>
      <c r="F310" s="35">
        <v>0</v>
      </c>
      <c r="G310" s="35">
        <f t="shared" si="4"/>
        <v>562499.20000000019</v>
      </c>
    </row>
    <row r="311" spans="1:7">
      <c r="A311" s="44">
        <v>676284004563</v>
      </c>
      <c r="B311" t="s">
        <v>63</v>
      </c>
      <c r="C311" s="33">
        <v>46141</v>
      </c>
      <c r="E311" s="35">
        <v>-50</v>
      </c>
      <c r="F311" s="35">
        <v>0</v>
      </c>
      <c r="G311" s="35">
        <f t="shared" si="4"/>
        <v>562449.20000000019</v>
      </c>
    </row>
    <row r="312" spans="1:7">
      <c r="A312" s="44">
        <v>50991498403</v>
      </c>
      <c r="B312" t="s">
        <v>64</v>
      </c>
      <c r="C312" s="33">
        <v>46141</v>
      </c>
      <c r="D312" t="s">
        <v>65</v>
      </c>
      <c r="E312" s="35">
        <v>0</v>
      </c>
      <c r="F312" s="35">
        <v>38900</v>
      </c>
      <c r="G312" s="35">
        <f t="shared" si="4"/>
        <v>601349.20000000019</v>
      </c>
    </row>
    <row r="313" spans="1:7">
      <c r="A313" s="44">
        <v>27291498403</v>
      </c>
      <c r="B313" t="s">
        <v>66</v>
      </c>
      <c r="C313" s="33">
        <v>46141</v>
      </c>
      <c r="E313" s="35">
        <v>-583.5</v>
      </c>
      <c r="F313" s="35">
        <v>0</v>
      </c>
      <c r="G313" s="35">
        <f t="shared" si="4"/>
        <v>600765.70000000019</v>
      </c>
    </row>
    <row r="314" spans="1:7">
      <c r="A314" s="44">
        <v>50954533131</v>
      </c>
      <c r="B314" t="s">
        <v>67</v>
      </c>
      <c r="C314" s="33">
        <v>46141</v>
      </c>
      <c r="D314" t="s">
        <v>65</v>
      </c>
      <c r="E314" s="35">
        <v>0</v>
      </c>
      <c r="F314" s="35">
        <v>19500</v>
      </c>
      <c r="G314" s="35">
        <f t="shared" si="4"/>
        <v>620265.70000000019</v>
      </c>
    </row>
    <row r="315" spans="1:7">
      <c r="A315" s="44">
        <v>27254533131</v>
      </c>
      <c r="B315" t="s">
        <v>66</v>
      </c>
      <c r="C315" s="33">
        <v>46141</v>
      </c>
      <c r="E315" s="35">
        <v>-292.5</v>
      </c>
      <c r="F315" s="35">
        <v>0</v>
      </c>
      <c r="G315" s="35">
        <f t="shared" si="4"/>
        <v>619973.20000000019</v>
      </c>
    </row>
    <row r="316" spans="1:7">
      <c r="A316" s="44">
        <v>677249990454</v>
      </c>
      <c r="B316" t="s">
        <v>68</v>
      </c>
      <c r="C316" s="33">
        <v>46141</v>
      </c>
      <c r="D316" t="s">
        <v>65</v>
      </c>
      <c r="E316" s="35">
        <v>0</v>
      </c>
      <c r="F316" s="35">
        <v>24310</v>
      </c>
      <c r="G316" s="35">
        <f t="shared" si="4"/>
        <v>644283.20000000019</v>
      </c>
    </row>
    <row r="317" spans="1:7">
      <c r="A317" s="44">
        <v>210049990454</v>
      </c>
      <c r="B317" t="s">
        <v>69</v>
      </c>
      <c r="C317" s="33">
        <v>46141</v>
      </c>
      <c r="E317" s="35">
        <v>-364.65</v>
      </c>
      <c r="F317" s="35">
        <v>0</v>
      </c>
      <c r="G317" s="35">
        <f t="shared" si="4"/>
        <v>643918.55000000016</v>
      </c>
    </row>
    <row r="318" spans="1:7">
      <c r="A318" s="44">
        <v>50948094110</v>
      </c>
      <c r="B318" t="s">
        <v>70</v>
      </c>
      <c r="C318" s="33">
        <v>46141</v>
      </c>
      <c r="D318" t="s">
        <v>65</v>
      </c>
      <c r="E318" s="35">
        <v>0</v>
      </c>
      <c r="F318" s="35">
        <v>29171.73</v>
      </c>
      <c r="G318" s="35">
        <f t="shared" si="4"/>
        <v>673090.28000000014</v>
      </c>
    </row>
    <row r="319" spans="1:7">
      <c r="A319" s="44">
        <v>27248094110</v>
      </c>
      <c r="B319" t="s">
        <v>66</v>
      </c>
      <c r="C319" s="33">
        <v>46141</v>
      </c>
      <c r="E319" s="35">
        <v>-437.58</v>
      </c>
      <c r="F319" s="35">
        <v>0</v>
      </c>
      <c r="G319" s="35">
        <f t="shared" si="4"/>
        <v>672652.70000000019</v>
      </c>
    </row>
    <row r="320" spans="1:7">
      <c r="A320" s="44">
        <v>677251120999</v>
      </c>
      <c r="B320" t="s">
        <v>68</v>
      </c>
      <c r="C320" s="33">
        <v>46142</v>
      </c>
      <c r="D320" t="s">
        <v>65</v>
      </c>
      <c r="E320" s="35">
        <v>0</v>
      </c>
      <c r="F320" s="35">
        <v>9724</v>
      </c>
      <c r="G320" s="35">
        <f t="shared" si="4"/>
        <v>682376.70000000019</v>
      </c>
    </row>
    <row r="321" spans="1:7">
      <c r="A321" s="44">
        <v>210051120999</v>
      </c>
      <c r="B321" t="s">
        <v>69</v>
      </c>
      <c r="C321" s="33">
        <v>46142</v>
      </c>
      <c r="E321" s="35">
        <v>-145.86000000000001</v>
      </c>
      <c r="F321" s="35">
        <v>0</v>
      </c>
      <c r="G321" s="35">
        <f t="shared" si="4"/>
        <v>682230.8400000002</v>
      </c>
    </row>
    <row r="322" spans="1:7">
      <c r="A322" s="44">
        <v>677251234956</v>
      </c>
      <c r="B322" t="s">
        <v>68</v>
      </c>
      <c r="C322" s="33">
        <v>46142</v>
      </c>
      <c r="D322" t="s">
        <v>65</v>
      </c>
      <c r="E322" s="35">
        <v>0</v>
      </c>
      <c r="F322" s="35">
        <v>14586</v>
      </c>
      <c r="G322" s="35">
        <f t="shared" si="4"/>
        <v>696816.8400000002</v>
      </c>
    </row>
    <row r="323" spans="1:7">
      <c r="A323" s="44">
        <v>210051234956</v>
      </c>
      <c r="B323" t="s">
        <v>69</v>
      </c>
      <c r="C323" s="33">
        <v>46142</v>
      </c>
      <c r="E323" s="35">
        <v>-218.79</v>
      </c>
      <c r="F323" s="35">
        <v>0</v>
      </c>
      <c r="G323" s="35">
        <f t="shared" si="4"/>
        <v>696598.05000000016</v>
      </c>
    </row>
    <row r="324" spans="1:7">
      <c r="A324" s="44">
        <v>50954797456</v>
      </c>
      <c r="B324" t="s">
        <v>67</v>
      </c>
      <c r="C324" s="33">
        <v>46142</v>
      </c>
      <c r="D324" t="s">
        <v>65</v>
      </c>
      <c r="E324" s="35">
        <v>0</v>
      </c>
      <c r="F324" s="35">
        <v>24350</v>
      </c>
      <c r="G324" s="35">
        <f t="shared" si="4"/>
        <v>720948.05000000016</v>
      </c>
    </row>
    <row r="325" spans="1:7">
      <c r="A325" s="44">
        <v>27254797456</v>
      </c>
      <c r="C325" s="33">
        <v>46142</v>
      </c>
      <c r="E325" s="35">
        <v>-365.25</v>
      </c>
      <c r="F325" s="35">
        <v>0</v>
      </c>
      <c r="G325" s="35">
        <f t="shared" si="4"/>
        <v>720582.80000000016</v>
      </c>
    </row>
    <row r="326" spans="1:7">
      <c r="A326" s="44">
        <v>329287546364</v>
      </c>
      <c r="B326" t="s">
        <v>77</v>
      </c>
      <c r="C326" s="33">
        <v>46142</v>
      </c>
      <c r="D326" t="s">
        <v>78</v>
      </c>
      <c r="E326" s="35">
        <v>-20000</v>
      </c>
      <c r="F326" s="35">
        <v>0</v>
      </c>
      <c r="G326" s="35">
        <f t="shared" si="4"/>
        <v>700582.80000000016</v>
      </c>
    </row>
    <row r="327" spans="1:7">
      <c r="A327" s="44">
        <v>676287546364</v>
      </c>
      <c r="B327" t="s">
        <v>63</v>
      </c>
      <c r="C327" s="33">
        <v>46142</v>
      </c>
      <c r="E327" s="35">
        <v>-50</v>
      </c>
      <c r="F327" s="35">
        <v>0</v>
      </c>
      <c r="G327" s="35">
        <f t="shared" ref="G327:G333" si="5">G326+E327+F327</f>
        <v>700532.80000000016</v>
      </c>
    </row>
    <row r="328" spans="1:7">
      <c r="A328" s="44">
        <v>329287566751</v>
      </c>
      <c r="B328" t="s">
        <v>79</v>
      </c>
      <c r="C328" s="33">
        <v>46142</v>
      </c>
      <c r="D328" t="s">
        <v>78</v>
      </c>
      <c r="E328" s="35">
        <v>-10000</v>
      </c>
      <c r="F328" s="35">
        <v>0</v>
      </c>
      <c r="G328" s="35">
        <f t="shared" si="5"/>
        <v>690532.80000000016</v>
      </c>
    </row>
    <row r="329" spans="1:7">
      <c r="A329" s="44">
        <v>676287566751</v>
      </c>
      <c r="B329" t="s">
        <v>63</v>
      </c>
      <c r="C329" s="33">
        <v>46142</v>
      </c>
      <c r="E329" s="35">
        <v>-25</v>
      </c>
      <c r="F329" s="35">
        <v>0</v>
      </c>
      <c r="G329" s="35">
        <f t="shared" si="5"/>
        <v>690507.80000000016</v>
      </c>
    </row>
    <row r="330" spans="1:7">
      <c r="A330" s="44">
        <v>50906949055</v>
      </c>
      <c r="B330" t="s">
        <v>64</v>
      </c>
      <c r="C330" s="33">
        <v>46142</v>
      </c>
      <c r="D330" t="s">
        <v>65</v>
      </c>
      <c r="E330" s="35">
        <v>0</v>
      </c>
      <c r="F330" s="35">
        <v>38970</v>
      </c>
      <c r="G330" s="35">
        <f t="shared" si="5"/>
        <v>729477.80000000016</v>
      </c>
    </row>
    <row r="331" spans="1:7">
      <c r="A331" s="44">
        <v>27206949055</v>
      </c>
      <c r="B331" t="s">
        <v>66</v>
      </c>
      <c r="C331" s="33">
        <v>46142</v>
      </c>
      <c r="E331" s="35">
        <v>-584.54999999999995</v>
      </c>
      <c r="F331" s="35">
        <v>0</v>
      </c>
      <c r="G331" s="35">
        <f t="shared" si="5"/>
        <v>728893.25000000012</v>
      </c>
    </row>
    <row r="332" spans="1:7">
      <c r="A332" s="44">
        <v>329287592952</v>
      </c>
      <c r="B332" t="s">
        <v>80</v>
      </c>
      <c r="C332" s="33">
        <v>46142</v>
      </c>
      <c r="D332" t="s">
        <v>78</v>
      </c>
      <c r="E332" s="35">
        <v>-23000</v>
      </c>
      <c r="F332" s="35">
        <v>0</v>
      </c>
      <c r="G332" s="35">
        <f t="shared" si="5"/>
        <v>705893.25000000012</v>
      </c>
    </row>
    <row r="333" spans="1:7">
      <c r="A333" s="44">
        <v>676287592952</v>
      </c>
      <c r="B333" t="s">
        <v>63</v>
      </c>
      <c r="C333" s="33">
        <v>46142</v>
      </c>
      <c r="E333" s="35">
        <v>-57.5</v>
      </c>
      <c r="F333" s="35">
        <v>0</v>
      </c>
      <c r="G333" s="35">
        <f t="shared" si="5"/>
        <v>705835.75000000012</v>
      </c>
    </row>
  </sheetData>
  <autoFilter ref="A2:G333" xr:uid="{CB595C92-B33A-4BA7-9B0B-C525D2A51998}"/>
  <mergeCells count="1"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sqref="A1:G1"/>
    </sheetView>
  </sheetViews>
  <sheetFormatPr baseColWidth="10" defaultColWidth="9.33203125" defaultRowHeight="12.75"/>
  <cols>
    <col min="1" max="1" width="18.83203125" customWidth="1"/>
    <col min="2" max="2" width="54.83203125" customWidth="1"/>
    <col min="3" max="3" width="14" customWidth="1"/>
    <col min="4" max="4" width="6.1640625" customWidth="1"/>
    <col min="5" max="5" width="15.33203125" customWidth="1"/>
    <col min="6" max="6" width="12.5" customWidth="1"/>
    <col min="7" max="7" width="14" customWidth="1"/>
  </cols>
  <sheetData>
    <row r="1" spans="1:7" ht="21.6" customHeight="1">
      <c r="A1" s="1" t="s">
        <v>0</v>
      </c>
      <c r="B1" s="1" t="s">
        <v>1</v>
      </c>
      <c r="C1" s="1" t="s">
        <v>2</v>
      </c>
      <c r="D1" s="41" t="s">
        <v>3</v>
      </c>
      <c r="E1" s="41"/>
      <c r="F1" s="1" t="s">
        <v>4</v>
      </c>
      <c r="G1" s="1" t="s">
        <v>5</v>
      </c>
    </row>
    <row r="2" spans="1:7" ht="21.6" customHeight="1">
      <c r="A2" s="42" t="s">
        <v>6</v>
      </c>
      <c r="B2" s="42"/>
      <c r="C2" s="2">
        <v>46113</v>
      </c>
      <c r="D2" s="43">
        <v>0</v>
      </c>
      <c r="E2" s="43"/>
      <c r="F2" s="3">
        <v>0</v>
      </c>
      <c r="G2" s="4">
        <v>590481.51</v>
      </c>
    </row>
    <row r="3" spans="1:7" ht="243" customHeight="1"/>
    <row r="4" spans="1:7" ht="17.25" customHeight="1">
      <c r="A4" s="5">
        <v>120200001319</v>
      </c>
      <c r="B4" s="6" t="s">
        <v>7</v>
      </c>
      <c r="C4" s="7">
        <v>46113</v>
      </c>
      <c r="D4" s="8" t="s">
        <v>8</v>
      </c>
      <c r="E4" s="9">
        <v>-8</v>
      </c>
      <c r="F4" s="10">
        <v>0</v>
      </c>
      <c r="G4" s="11">
        <v>590473.51</v>
      </c>
    </row>
    <row r="5" spans="1:7" ht="33" customHeight="1">
      <c r="A5" s="12">
        <v>50956063930</v>
      </c>
      <c r="B5" s="13" t="s">
        <v>9</v>
      </c>
      <c r="C5" s="14">
        <v>46113</v>
      </c>
      <c r="D5" s="15" t="s">
        <v>10</v>
      </c>
      <c r="E5" s="16">
        <v>0</v>
      </c>
      <c r="F5" s="4">
        <v>23700</v>
      </c>
      <c r="G5" s="17">
        <v>614173.51</v>
      </c>
    </row>
    <row r="6" spans="1:7" ht="21.6" customHeight="1">
      <c r="A6" s="5">
        <v>27256063930</v>
      </c>
      <c r="B6" s="6" t="s">
        <v>11</v>
      </c>
      <c r="C6" s="7">
        <v>46113</v>
      </c>
      <c r="D6" s="8" t="s">
        <v>8</v>
      </c>
      <c r="E6" s="9">
        <v>-355.5</v>
      </c>
      <c r="F6" s="10">
        <v>0</v>
      </c>
      <c r="G6" s="11">
        <v>613818.01</v>
      </c>
    </row>
    <row r="7" spans="1:7" ht="33" customHeight="1">
      <c r="A7" s="12">
        <v>50956082516</v>
      </c>
      <c r="B7" s="13" t="s">
        <v>9</v>
      </c>
      <c r="C7" s="14">
        <v>46113</v>
      </c>
      <c r="D7" s="15" t="s">
        <v>10</v>
      </c>
      <c r="E7" s="16">
        <v>0</v>
      </c>
      <c r="F7" s="4">
        <v>28400</v>
      </c>
      <c r="G7" s="17">
        <v>642218.01</v>
      </c>
    </row>
    <row r="8" spans="1:7" ht="21.6" customHeight="1">
      <c r="A8" s="5">
        <v>27256082516</v>
      </c>
      <c r="B8" s="6" t="s">
        <v>11</v>
      </c>
      <c r="C8" s="7">
        <v>46113</v>
      </c>
      <c r="D8" s="8" t="s">
        <v>8</v>
      </c>
      <c r="E8" s="9">
        <v>-426</v>
      </c>
      <c r="F8" s="10">
        <v>0</v>
      </c>
      <c r="G8" s="11">
        <v>641792.01</v>
      </c>
    </row>
    <row r="9" spans="1:7" ht="33" customHeight="1">
      <c r="A9" s="12">
        <v>329273500884</v>
      </c>
      <c r="B9" s="13" t="s">
        <v>12</v>
      </c>
      <c r="C9" s="14">
        <v>46113</v>
      </c>
      <c r="D9" s="15" t="s">
        <v>8</v>
      </c>
      <c r="E9" s="18">
        <v>-300000</v>
      </c>
      <c r="F9" s="3">
        <v>0</v>
      </c>
      <c r="G9" s="17">
        <v>341792.01</v>
      </c>
    </row>
    <row r="10" spans="1:7" ht="21.6" customHeight="1">
      <c r="A10" s="5">
        <v>676273500884</v>
      </c>
      <c r="B10" s="6" t="s">
        <v>13</v>
      </c>
      <c r="C10" s="7">
        <v>46113</v>
      </c>
      <c r="D10" s="8" t="s">
        <v>8</v>
      </c>
      <c r="E10" s="9">
        <v>-750</v>
      </c>
      <c r="F10" s="10">
        <v>0</v>
      </c>
      <c r="G10" s="11">
        <v>341042.01</v>
      </c>
    </row>
    <row r="11" spans="1:7" ht="33" customHeight="1">
      <c r="A11" s="12">
        <v>677294830549</v>
      </c>
      <c r="B11" s="13" t="s">
        <v>14</v>
      </c>
      <c r="C11" s="14">
        <v>46113</v>
      </c>
      <c r="D11" s="15" t="s">
        <v>10</v>
      </c>
      <c r="E11" s="16">
        <v>0</v>
      </c>
      <c r="F11" s="4">
        <v>11373</v>
      </c>
      <c r="G11" s="17">
        <v>352415.01</v>
      </c>
    </row>
    <row r="12" spans="1:7" ht="21.6" customHeight="1">
      <c r="A12" s="5">
        <v>210094830549</v>
      </c>
      <c r="B12" s="6" t="s">
        <v>15</v>
      </c>
      <c r="C12" s="7">
        <v>46113</v>
      </c>
      <c r="D12" s="8" t="s">
        <v>8</v>
      </c>
      <c r="E12" s="9">
        <v>-170.6</v>
      </c>
      <c r="F12" s="10">
        <v>0</v>
      </c>
      <c r="G12" s="11">
        <v>352244.41</v>
      </c>
    </row>
    <row r="13" spans="1:7" ht="33" customHeight="1">
      <c r="A13" s="12">
        <v>329273538340</v>
      </c>
      <c r="B13" s="13" t="s">
        <v>16</v>
      </c>
      <c r="C13" s="14">
        <v>46113</v>
      </c>
      <c r="D13" s="15" t="s">
        <v>8</v>
      </c>
      <c r="E13" s="18">
        <v>-200000</v>
      </c>
      <c r="F13" s="3">
        <v>0</v>
      </c>
      <c r="G13" s="17">
        <v>152244.41</v>
      </c>
    </row>
    <row r="14" spans="1:7" ht="15.6" customHeight="1">
      <c r="A14" s="5">
        <v>676273538340</v>
      </c>
      <c r="B14" s="6" t="s">
        <v>13</v>
      </c>
      <c r="C14" s="7">
        <v>46113</v>
      </c>
      <c r="D14" s="8" t="s">
        <v>8</v>
      </c>
      <c r="E14" s="9">
        <v>-500</v>
      </c>
      <c r="F14" s="10">
        <v>0</v>
      </c>
      <c r="G14" s="11">
        <v>151744.41</v>
      </c>
    </row>
  </sheetData>
  <mergeCells count="3">
    <mergeCell ref="D1:E1"/>
    <mergeCell ref="A2:B2"/>
    <mergeCell ref="D2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2"/>
  <sheetViews>
    <sheetView workbookViewId="0">
      <selection activeCell="A2" sqref="A2:G323"/>
    </sheetView>
  </sheetViews>
  <sheetFormatPr baseColWidth="10" defaultColWidth="9.33203125" defaultRowHeight="12.75"/>
  <cols>
    <col min="1" max="1" width="18.83203125" customWidth="1"/>
    <col min="2" max="2" width="54.83203125" customWidth="1"/>
    <col min="3" max="3" width="14" customWidth="1"/>
    <col min="4" max="4" width="6.1640625" customWidth="1"/>
    <col min="5" max="5" width="15.33203125" customWidth="1"/>
    <col min="6" max="6" width="12.5" customWidth="1"/>
    <col min="7" max="7" width="14" customWidth="1"/>
  </cols>
  <sheetData>
    <row r="1" spans="1:7" ht="17.25" customHeight="1">
      <c r="A1" s="1" t="s">
        <v>0</v>
      </c>
      <c r="B1" s="1" t="s">
        <v>1</v>
      </c>
      <c r="C1" s="1" t="s">
        <v>2</v>
      </c>
      <c r="D1" s="19"/>
      <c r="E1" s="20" t="s">
        <v>3</v>
      </c>
      <c r="F1" s="1" t="s">
        <v>4</v>
      </c>
      <c r="G1" s="1" t="s">
        <v>5</v>
      </c>
    </row>
    <row r="2" spans="1:7" ht="33" customHeight="1">
      <c r="A2" s="21">
        <v>50921972247</v>
      </c>
      <c r="B2" s="13" t="s">
        <v>17</v>
      </c>
      <c r="C2" s="2">
        <v>46113</v>
      </c>
      <c r="D2" s="15" t="s">
        <v>10</v>
      </c>
      <c r="E2" s="16">
        <v>0</v>
      </c>
      <c r="F2" s="4">
        <v>37913.410000000003</v>
      </c>
      <c r="G2" s="4">
        <v>189657.82</v>
      </c>
    </row>
    <row r="3" spans="1:7" ht="21.6" customHeight="1">
      <c r="A3" s="22">
        <v>27221972247</v>
      </c>
      <c r="B3" s="6" t="s">
        <v>11</v>
      </c>
      <c r="C3" s="23">
        <v>46113</v>
      </c>
      <c r="D3" s="8" t="s">
        <v>8</v>
      </c>
      <c r="E3" s="9">
        <v>-568.70000000000005</v>
      </c>
      <c r="F3" s="10">
        <v>0</v>
      </c>
      <c r="G3" s="24">
        <v>189089.12</v>
      </c>
    </row>
    <row r="4" spans="1:7" ht="33" customHeight="1">
      <c r="A4" s="21">
        <v>50956227018</v>
      </c>
      <c r="B4" s="13" t="s">
        <v>9</v>
      </c>
      <c r="C4" s="2">
        <v>46113</v>
      </c>
      <c r="D4" s="15" t="s">
        <v>10</v>
      </c>
      <c r="E4" s="16">
        <v>0</v>
      </c>
      <c r="F4" s="4">
        <v>28450</v>
      </c>
      <c r="G4" s="4">
        <v>217539.12</v>
      </c>
    </row>
    <row r="5" spans="1:7" ht="21.6" customHeight="1">
      <c r="A5" s="22">
        <v>27256227018</v>
      </c>
      <c r="B5" s="6" t="s">
        <v>11</v>
      </c>
      <c r="C5" s="23">
        <v>46113</v>
      </c>
      <c r="D5" s="8" t="s">
        <v>8</v>
      </c>
      <c r="E5" s="9">
        <v>-426.75</v>
      </c>
      <c r="F5" s="10">
        <v>0</v>
      </c>
      <c r="G5" s="24">
        <v>217112.37</v>
      </c>
    </row>
    <row r="6" spans="1:7" ht="33" customHeight="1">
      <c r="A6" s="21">
        <v>50956353677</v>
      </c>
      <c r="B6" s="13" t="s">
        <v>9</v>
      </c>
      <c r="C6" s="2">
        <v>46113</v>
      </c>
      <c r="D6" s="15" t="s">
        <v>10</v>
      </c>
      <c r="E6" s="16">
        <v>0</v>
      </c>
      <c r="F6" s="4">
        <v>18960</v>
      </c>
      <c r="G6" s="4">
        <v>236072.37</v>
      </c>
    </row>
    <row r="7" spans="1:7" ht="21.6" customHeight="1">
      <c r="A7" s="22">
        <v>27256353677</v>
      </c>
      <c r="B7" s="6" t="s">
        <v>11</v>
      </c>
      <c r="C7" s="23">
        <v>46113</v>
      </c>
      <c r="D7" s="8" t="s">
        <v>8</v>
      </c>
      <c r="E7" s="9">
        <v>-284.39999999999998</v>
      </c>
      <c r="F7" s="10">
        <v>0</v>
      </c>
      <c r="G7" s="24">
        <v>235787.97</v>
      </c>
    </row>
    <row r="8" spans="1:7" ht="33" customHeight="1">
      <c r="A8" s="21">
        <v>329273761811</v>
      </c>
      <c r="B8" s="13" t="s">
        <v>18</v>
      </c>
      <c r="C8" s="2">
        <v>46114</v>
      </c>
      <c r="D8" s="15" t="s">
        <v>8</v>
      </c>
      <c r="E8" s="18">
        <v>-20000</v>
      </c>
      <c r="F8" s="3">
        <v>0</v>
      </c>
      <c r="G8" s="4">
        <v>215787.97</v>
      </c>
    </row>
    <row r="9" spans="1:7" ht="21.6" customHeight="1">
      <c r="A9" s="22">
        <v>676273761811</v>
      </c>
      <c r="B9" s="6" t="s">
        <v>13</v>
      </c>
      <c r="C9" s="23">
        <v>46114</v>
      </c>
      <c r="D9" s="8" t="s">
        <v>8</v>
      </c>
      <c r="E9" s="9">
        <v>-50</v>
      </c>
      <c r="F9" s="10">
        <v>0</v>
      </c>
      <c r="G9" s="24">
        <v>215737.97</v>
      </c>
    </row>
    <row r="10" spans="1:7" ht="33" customHeight="1">
      <c r="A10" s="21">
        <v>677297686904</v>
      </c>
      <c r="B10" s="13" t="s">
        <v>19</v>
      </c>
      <c r="C10" s="2">
        <v>46114</v>
      </c>
      <c r="D10" s="15" t="s">
        <v>10</v>
      </c>
      <c r="E10" s="16">
        <v>0</v>
      </c>
      <c r="F10" s="4">
        <v>56887.18</v>
      </c>
      <c r="G10" s="4">
        <v>272625.15000000002</v>
      </c>
    </row>
    <row r="11" spans="1:7" ht="21.6" customHeight="1">
      <c r="A11" s="22">
        <v>210097686904</v>
      </c>
      <c r="B11" s="6" t="s">
        <v>15</v>
      </c>
      <c r="C11" s="23">
        <v>46114</v>
      </c>
      <c r="D11" s="8" t="s">
        <v>8</v>
      </c>
      <c r="E11" s="9">
        <v>-853.31</v>
      </c>
      <c r="F11" s="10">
        <v>0</v>
      </c>
      <c r="G11" s="24">
        <v>271771.84000000003</v>
      </c>
    </row>
    <row r="12" spans="1:7" ht="33" customHeight="1">
      <c r="A12" s="21">
        <v>329273776812</v>
      </c>
      <c r="B12" s="13" t="s">
        <v>20</v>
      </c>
      <c r="C12" s="2">
        <v>46114</v>
      </c>
      <c r="D12" s="15" t="s">
        <v>8</v>
      </c>
      <c r="E12" s="18">
        <v>-30000</v>
      </c>
      <c r="F12" s="3">
        <v>0</v>
      </c>
      <c r="G12" s="4">
        <v>241771.84</v>
      </c>
    </row>
    <row r="13" spans="1:7" ht="21.6" customHeight="1">
      <c r="A13" s="22">
        <v>676273776812</v>
      </c>
      <c r="B13" s="6" t="s">
        <v>13</v>
      </c>
      <c r="C13" s="23">
        <v>46114</v>
      </c>
      <c r="D13" s="8" t="s">
        <v>8</v>
      </c>
      <c r="E13" s="9">
        <v>-75</v>
      </c>
      <c r="F13" s="10">
        <v>0</v>
      </c>
      <c r="G13" s="24">
        <v>241696.84</v>
      </c>
    </row>
    <row r="14" spans="1:7" ht="33" customHeight="1">
      <c r="A14" s="21">
        <v>50956735297</v>
      </c>
      <c r="B14" s="13" t="s">
        <v>9</v>
      </c>
      <c r="C14" s="2">
        <v>46115</v>
      </c>
      <c r="D14" s="15" t="s">
        <v>10</v>
      </c>
      <c r="E14" s="16">
        <v>0</v>
      </c>
      <c r="F14" s="4">
        <v>23700</v>
      </c>
      <c r="G14" s="4">
        <v>265396.84000000003</v>
      </c>
    </row>
    <row r="15" spans="1:7" ht="15.75" customHeight="1">
      <c r="A15" s="22">
        <v>27256735297</v>
      </c>
      <c r="B15" s="6" t="s">
        <v>11</v>
      </c>
      <c r="C15" s="23">
        <v>46115</v>
      </c>
      <c r="D15" s="8" t="s">
        <v>8</v>
      </c>
      <c r="E15" s="9">
        <v>-355.5</v>
      </c>
      <c r="F15" s="10">
        <v>0</v>
      </c>
      <c r="G15" s="24">
        <v>265041.34000000003</v>
      </c>
    </row>
    <row r="16" spans="1:7" ht="54.95" customHeight="1"/>
    <row r="17" spans="1:7" ht="33" customHeight="1">
      <c r="A17" s="21">
        <v>329273794071</v>
      </c>
      <c r="B17" s="13" t="s">
        <v>21</v>
      </c>
      <c r="C17" s="2">
        <v>46115</v>
      </c>
      <c r="D17" s="15" t="s">
        <v>8</v>
      </c>
      <c r="E17" s="18">
        <v>-40000</v>
      </c>
      <c r="F17" s="3">
        <v>0</v>
      </c>
      <c r="G17" s="4">
        <v>225041.34</v>
      </c>
    </row>
    <row r="18" spans="1:7" ht="21.6" customHeight="1">
      <c r="A18" s="22">
        <v>676273794071</v>
      </c>
      <c r="B18" s="6" t="s">
        <v>13</v>
      </c>
      <c r="C18" s="23">
        <v>46115</v>
      </c>
      <c r="D18" s="8" t="s">
        <v>8</v>
      </c>
      <c r="E18" s="9">
        <v>-100</v>
      </c>
      <c r="F18" s="10">
        <v>0</v>
      </c>
      <c r="G18" s="24">
        <v>224941.34</v>
      </c>
    </row>
    <row r="19" spans="1:7" ht="33" customHeight="1">
      <c r="A19" s="21">
        <v>677299080162</v>
      </c>
      <c r="B19" s="13"/>
      <c r="C19" s="2">
        <v>46115</v>
      </c>
      <c r="D19" s="15" t="s">
        <v>10</v>
      </c>
      <c r="E19" s="16">
        <v>0</v>
      </c>
      <c r="F19" s="4">
        <v>18957</v>
      </c>
      <c r="G19" s="4">
        <v>243898.34</v>
      </c>
    </row>
    <row r="20" spans="1:7" ht="21.6" customHeight="1">
      <c r="A20" s="22">
        <v>210099080162</v>
      </c>
      <c r="B20" s="6" t="s">
        <v>15</v>
      </c>
      <c r="C20" s="23">
        <v>46115</v>
      </c>
      <c r="D20" s="8" t="s">
        <v>8</v>
      </c>
      <c r="E20" s="9">
        <v>-284.35000000000002</v>
      </c>
      <c r="F20" s="10">
        <v>0</v>
      </c>
      <c r="G20" s="24">
        <v>243613.99</v>
      </c>
    </row>
    <row r="21" spans="1:7" ht="33" customHeight="1">
      <c r="A21" s="21">
        <v>50923876312</v>
      </c>
      <c r="B21" s="13" t="s">
        <v>17</v>
      </c>
      <c r="C21" s="2">
        <v>46115</v>
      </c>
      <c r="D21" s="15" t="s">
        <v>10</v>
      </c>
      <c r="E21" s="16">
        <v>0</v>
      </c>
      <c r="F21" s="4">
        <v>56887.18</v>
      </c>
      <c r="G21" s="4">
        <v>300501.17</v>
      </c>
    </row>
    <row r="22" spans="1:7" ht="21.6" customHeight="1">
      <c r="A22" s="22">
        <v>27223876312</v>
      </c>
      <c r="B22" s="6" t="s">
        <v>11</v>
      </c>
      <c r="C22" s="23">
        <v>46115</v>
      </c>
      <c r="D22" s="8" t="s">
        <v>8</v>
      </c>
      <c r="E22" s="9">
        <v>-853.31</v>
      </c>
      <c r="F22" s="10">
        <v>0</v>
      </c>
      <c r="G22" s="24">
        <v>299647.86</v>
      </c>
    </row>
    <row r="23" spans="1:7" ht="33" customHeight="1">
      <c r="A23" s="21">
        <v>329273817099</v>
      </c>
      <c r="B23" s="13" t="s">
        <v>22</v>
      </c>
      <c r="C23" s="2">
        <v>46116</v>
      </c>
      <c r="D23" s="15" t="s">
        <v>8</v>
      </c>
      <c r="E23" s="18">
        <v>-19000</v>
      </c>
      <c r="F23" s="3">
        <v>0</v>
      </c>
      <c r="G23" s="4">
        <v>280647.86</v>
      </c>
    </row>
    <row r="24" spans="1:7" ht="21.6" customHeight="1">
      <c r="A24" s="22">
        <v>676273817099</v>
      </c>
      <c r="B24" s="6" t="s">
        <v>13</v>
      </c>
      <c r="C24" s="23">
        <v>46116</v>
      </c>
      <c r="D24" s="8" t="s">
        <v>8</v>
      </c>
      <c r="E24" s="9">
        <v>-47.5</v>
      </c>
      <c r="F24" s="10">
        <v>0</v>
      </c>
      <c r="G24" s="24">
        <v>280600.36</v>
      </c>
    </row>
    <row r="25" spans="1:7" ht="33" customHeight="1">
      <c r="A25" s="21">
        <v>50924704367</v>
      </c>
      <c r="B25" s="13" t="s">
        <v>17</v>
      </c>
      <c r="C25" s="2">
        <v>46116</v>
      </c>
      <c r="D25" s="15" t="s">
        <v>10</v>
      </c>
      <c r="E25" s="16">
        <v>0</v>
      </c>
      <c r="F25" s="4">
        <v>37924.78</v>
      </c>
      <c r="G25" s="4">
        <v>318525.14</v>
      </c>
    </row>
    <row r="26" spans="1:7" ht="21.6" customHeight="1">
      <c r="A26" s="22">
        <v>27224704367</v>
      </c>
      <c r="B26" s="6" t="s">
        <v>11</v>
      </c>
      <c r="C26" s="23">
        <v>46116</v>
      </c>
      <c r="D26" s="8" t="s">
        <v>8</v>
      </c>
      <c r="E26" s="9">
        <v>-568.87</v>
      </c>
      <c r="F26" s="10">
        <v>0</v>
      </c>
      <c r="G26" s="24">
        <v>317956.27</v>
      </c>
    </row>
    <row r="27" spans="1:7" ht="33" customHeight="1">
      <c r="A27" s="21">
        <v>50957031167</v>
      </c>
      <c r="B27" s="13" t="s">
        <v>23</v>
      </c>
      <c r="C27" s="2">
        <v>46117</v>
      </c>
      <c r="D27" s="15" t="s">
        <v>10</v>
      </c>
      <c r="E27" s="16">
        <v>0</v>
      </c>
      <c r="F27" s="4">
        <v>2000</v>
      </c>
      <c r="G27" s="4">
        <v>319956.27</v>
      </c>
    </row>
    <row r="28" spans="1:7" ht="21.6" customHeight="1">
      <c r="A28" s="22">
        <v>27257031167</v>
      </c>
      <c r="B28" s="6" t="s">
        <v>11</v>
      </c>
      <c r="C28" s="23">
        <v>46117</v>
      </c>
      <c r="D28" s="8" t="s">
        <v>8</v>
      </c>
      <c r="E28" s="9">
        <v>-30</v>
      </c>
      <c r="F28" s="10">
        <v>0</v>
      </c>
      <c r="G28" s="24">
        <v>319926.27</v>
      </c>
    </row>
    <row r="29" spans="1:7" ht="33" customHeight="1">
      <c r="A29" s="21">
        <v>677202799319</v>
      </c>
      <c r="B29" s="13" t="s">
        <v>14</v>
      </c>
      <c r="C29" s="2">
        <v>46117</v>
      </c>
      <c r="D29" s="15" t="s">
        <v>10</v>
      </c>
      <c r="E29" s="16">
        <v>0</v>
      </c>
      <c r="F29" s="4">
        <v>16588</v>
      </c>
      <c r="G29" s="4">
        <v>336514.27</v>
      </c>
    </row>
    <row r="30" spans="1:7" ht="15.75" customHeight="1">
      <c r="A30" s="22">
        <v>210002799319</v>
      </c>
      <c r="B30" s="6" t="s">
        <v>15</v>
      </c>
      <c r="C30" s="23">
        <v>46117</v>
      </c>
      <c r="D30" s="8" t="s">
        <v>8</v>
      </c>
      <c r="E30" s="9">
        <v>-248.82</v>
      </c>
      <c r="F30" s="10">
        <v>0</v>
      </c>
      <c r="G30" s="24">
        <v>336265.45</v>
      </c>
    </row>
    <row r="31" spans="1:7" ht="54.95" customHeight="1"/>
    <row r="32" spans="1:7" ht="33" customHeight="1">
      <c r="A32" s="21">
        <v>329273881952</v>
      </c>
      <c r="B32" s="13" t="s">
        <v>24</v>
      </c>
      <c r="C32" s="2">
        <v>46118</v>
      </c>
      <c r="D32" s="15" t="s">
        <v>8</v>
      </c>
      <c r="E32" s="18">
        <v>-66000</v>
      </c>
      <c r="F32" s="3">
        <v>0</v>
      </c>
      <c r="G32" s="4">
        <v>270265.45</v>
      </c>
    </row>
    <row r="33" spans="1:7" ht="21.6" customHeight="1">
      <c r="A33" s="22">
        <v>676273881952</v>
      </c>
      <c r="B33" s="6" t="s">
        <v>13</v>
      </c>
      <c r="C33" s="23">
        <v>46118</v>
      </c>
      <c r="D33" s="8" t="s">
        <v>8</v>
      </c>
      <c r="E33" s="9">
        <v>-165</v>
      </c>
      <c r="F33" s="10">
        <v>0</v>
      </c>
      <c r="G33" s="24">
        <v>270100.45</v>
      </c>
    </row>
    <row r="34" spans="1:7" ht="33" customHeight="1">
      <c r="A34" s="21">
        <v>50957458007</v>
      </c>
      <c r="B34" s="13" t="s">
        <v>9</v>
      </c>
      <c r="C34" s="2">
        <v>46118</v>
      </c>
      <c r="D34" s="15" t="s">
        <v>10</v>
      </c>
      <c r="E34" s="16">
        <v>0</v>
      </c>
      <c r="F34" s="4">
        <v>2000</v>
      </c>
      <c r="G34" s="4">
        <v>272100.45</v>
      </c>
    </row>
    <row r="35" spans="1:7" ht="21.6" customHeight="1">
      <c r="A35" s="22">
        <v>27257458007</v>
      </c>
      <c r="B35" s="6" t="s">
        <v>11</v>
      </c>
      <c r="C35" s="23">
        <v>46118</v>
      </c>
      <c r="D35" s="8" t="s">
        <v>8</v>
      </c>
      <c r="E35" s="9">
        <v>-30</v>
      </c>
      <c r="F35" s="10">
        <v>0</v>
      </c>
      <c r="G35" s="24">
        <v>272070.45</v>
      </c>
    </row>
    <row r="36" spans="1:7" ht="33" customHeight="1">
      <c r="A36" s="21">
        <v>677203356177</v>
      </c>
      <c r="B36" s="13" t="s">
        <v>14</v>
      </c>
      <c r="C36" s="2">
        <v>46118</v>
      </c>
      <c r="D36" s="15" t="s">
        <v>10</v>
      </c>
      <c r="E36" s="16">
        <v>0</v>
      </c>
      <c r="F36" s="4">
        <v>37925</v>
      </c>
      <c r="G36" s="4">
        <v>309995.45</v>
      </c>
    </row>
    <row r="37" spans="1:7" ht="21.6" customHeight="1">
      <c r="A37" s="22">
        <v>210003356177</v>
      </c>
      <c r="B37" s="6" t="s">
        <v>15</v>
      </c>
      <c r="C37" s="23">
        <v>46118</v>
      </c>
      <c r="D37" s="8" t="s">
        <v>8</v>
      </c>
      <c r="E37" s="9">
        <v>-568.88</v>
      </c>
      <c r="F37" s="10">
        <v>0</v>
      </c>
      <c r="G37" s="24">
        <v>309426.57</v>
      </c>
    </row>
    <row r="38" spans="1:7" ht="33" customHeight="1">
      <c r="A38" s="21">
        <v>50957508771</v>
      </c>
      <c r="B38" s="13" t="s">
        <v>9</v>
      </c>
      <c r="C38" s="2">
        <v>46118</v>
      </c>
      <c r="D38" s="15" t="s">
        <v>10</v>
      </c>
      <c r="E38" s="16">
        <v>0</v>
      </c>
      <c r="F38" s="4">
        <v>10000</v>
      </c>
      <c r="G38" s="4">
        <v>319426.57</v>
      </c>
    </row>
    <row r="39" spans="1:7" ht="21.6" customHeight="1">
      <c r="A39" s="22">
        <v>27257508771</v>
      </c>
      <c r="B39" s="6" t="s">
        <v>11</v>
      </c>
      <c r="C39" s="23">
        <v>46118</v>
      </c>
      <c r="D39" s="8" t="s">
        <v>8</v>
      </c>
      <c r="E39" s="9">
        <v>-150</v>
      </c>
      <c r="F39" s="10">
        <v>0</v>
      </c>
      <c r="G39" s="24">
        <v>319276.57</v>
      </c>
    </row>
    <row r="40" spans="1:7" ht="33" customHeight="1">
      <c r="A40" s="21">
        <v>677203565078</v>
      </c>
      <c r="B40" s="13" t="s">
        <v>14</v>
      </c>
      <c r="C40" s="2">
        <v>46118</v>
      </c>
      <c r="D40" s="15" t="s">
        <v>10</v>
      </c>
      <c r="E40" s="16">
        <v>0</v>
      </c>
      <c r="F40" s="4">
        <v>23703</v>
      </c>
      <c r="G40" s="4">
        <v>342979.57</v>
      </c>
    </row>
    <row r="41" spans="1:7" ht="21.6" customHeight="1">
      <c r="A41" s="22">
        <v>210003565078</v>
      </c>
      <c r="B41" s="6" t="s">
        <v>15</v>
      </c>
      <c r="C41" s="23">
        <v>46118</v>
      </c>
      <c r="D41" s="8" t="s">
        <v>8</v>
      </c>
      <c r="E41" s="9">
        <v>-355.54</v>
      </c>
      <c r="F41" s="10">
        <v>0</v>
      </c>
      <c r="G41" s="24">
        <v>342624.03</v>
      </c>
    </row>
    <row r="42" spans="1:7" ht="33" customHeight="1">
      <c r="A42" s="21">
        <v>50957514970</v>
      </c>
      <c r="B42" s="13" t="s">
        <v>9</v>
      </c>
      <c r="C42" s="2">
        <v>46118</v>
      </c>
      <c r="D42" s="15" t="s">
        <v>10</v>
      </c>
      <c r="E42" s="16">
        <v>0</v>
      </c>
      <c r="F42" s="4">
        <v>28000</v>
      </c>
      <c r="G42" s="4">
        <v>370624.03</v>
      </c>
    </row>
    <row r="43" spans="1:7" ht="21.6" customHeight="1">
      <c r="A43" s="22">
        <v>27257514970</v>
      </c>
      <c r="B43" s="6" t="s">
        <v>11</v>
      </c>
      <c r="C43" s="23">
        <v>46118</v>
      </c>
      <c r="D43" s="8" t="s">
        <v>8</v>
      </c>
      <c r="E43" s="9">
        <v>-420</v>
      </c>
      <c r="F43" s="10">
        <v>0</v>
      </c>
      <c r="G43" s="24">
        <v>370204.03</v>
      </c>
    </row>
    <row r="44" spans="1:7" ht="33" customHeight="1">
      <c r="A44" s="21">
        <v>50957515786</v>
      </c>
      <c r="B44" s="13" t="s">
        <v>9</v>
      </c>
      <c r="C44" s="2">
        <v>46118</v>
      </c>
      <c r="D44" s="15" t="s">
        <v>10</v>
      </c>
      <c r="E44" s="16">
        <v>0</v>
      </c>
      <c r="F44" s="4">
        <v>37920</v>
      </c>
      <c r="G44" s="4">
        <v>408124.03</v>
      </c>
    </row>
    <row r="45" spans="1:7" ht="15.75" customHeight="1">
      <c r="A45" s="22">
        <v>27257515786</v>
      </c>
      <c r="B45" s="6" t="s">
        <v>11</v>
      </c>
      <c r="C45" s="23">
        <v>46118</v>
      </c>
      <c r="D45" s="8" t="s">
        <v>8</v>
      </c>
      <c r="E45" s="9">
        <v>-568.79999999999995</v>
      </c>
      <c r="F45" s="10">
        <v>0</v>
      </c>
      <c r="G45" s="24">
        <v>407555.23</v>
      </c>
    </row>
    <row r="46" spans="1:7" ht="54.95" customHeight="1"/>
    <row r="47" spans="1:7" ht="33" customHeight="1">
      <c r="A47" s="21">
        <v>329273917672</v>
      </c>
      <c r="B47" s="13" t="s">
        <v>25</v>
      </c>
      <c r="C47" s="2">
        <v>46118</v>
      </c>
      <c r="D47" s="15" t="s">
        <v>8</v>
      </c>
      <c r="E47" s="18">
        <v>-300000</v>
      </c>
      <c r="F47" s="3">
        <v>0</v>
      </c>
      <c r="G47" s="4">
        <v>107555.23</v>
      </c>
    </row>
    <row r="48" spans="1:7" ht="21.6" customHeight="1">
      <c r="A48" s="22">
        <v>676273917672</v>
      </c>
      <c r="B48" s="6" t="s">
        <v>13</v>
      </c>
      <c r="C48" s="23">
        <v>46118</v>
      </c>
      <c r="D48" s="8" t="s">
        <v>8</v>
      </c>
      <c r="E48" s="9">
        <v>-750</v>
      </c>
      <c r="F48" s="10">
        <v>0</v>
      </c>
      <c r="G48" s="24">
        <v>106805.23</v>
      </c>
    </row>
    <row r="49" spans="1:7" ht="33" customHeight="1">
      <c r="A49" s="21">
        <v>50969812966</v>
      </c>
      <c r="B49" s="13" t="s">
        <v>23</v>
      </c>
      <c r="C49" s="2">
        <v>46118</v>
      </c>
      <c r="D49" s="15" t="s">
        <v>10</v>
      </c>
      <c r="E49" s="16">
        <v>0</v>
      </c>
      <c r="F49" s="4">
        <v>90071.4</v>
      </c>
      <c r="G49" s="4">
        <v>196876.63</v>
      </c>
    </row>
    <row r="50" spans="1:7" ht="21.6" customHeight="1">
      <c r="A50" s="22">
        <v>27269812966</v>
      </c>
      <c r="B50" s="6" t="s">
        <v>11</v>
      </c>
      <c r="C50" s="23">
        <v>46118</v>
      </c>
      <c r="D50" s="8" t="s">
        <v>8</v>
      </c>
      <c r="E50" s="25">
        <v>-1351.07</v>
      </c>
      <c r="F50" s="10">
        <v>0</v>
      </c>
      <c r="G50" s="24">
        <v>195525.56</v>
      </c>
    </row>
    <row r="51" spans="1:7" ht="33" customHeight="1">
      <c r="A51" s="21">
        <v>50957531196</v>
      </c>
      <c r="B51" s="13" t="s">
        <v>9</v>
      </c>
      <c r="C51" s="2">
        <v>46118</v>
      </c>
      <c r="D51" s="15" t="s">
        <v>10</v>
      </c>
      <c r="E51" s="16">
        <v>0</v>
      </c>
      <c r="F51" s="4">
        <v>18900</v>
      </c>
      <c r="G51" s="4">
        <v>214425.56</v>
      </c>
    </row>
    <row r="52" spans="1:7" ht="21.6" customHeight="1">
      <c r="A52" s="22">
        <v>27257531196</v>
      </c>
      <c r="B52" s="6" t="s">
        <v>11</v>
      </c>
      <c r="C52" s="23">
        <v>46118</v>
      </c>
      <c r="D52" s="8" t="s">
        <v>8</v>
      </c>
      <c r="E52" s="9">
        <v>-283.5</v>
      </c>
      <c r="F52" s="10">
        <v>0</v>
      </c>
      <c r="G52" s="24">
        <v>214142.06</v>
      </c>
    </row>
    <row r="53" spans="1:7" ht="33" customHeight="1">
      <c r="A53" s="21">
        <v>677203688095</v>
      </c>
      <c r="B53" s="13" t="s">
        <v>19</v>
      </c>
      <c r="C53" s="2">
        <v>46118</v>
      </c>
      <c r="D53" s="15" t="s">
        <v>10</v>
      </c>
      <c r="E53" s="16">
        <v>0</v>
      </c>
      <c r="F53" s="4">
        <v>47405.98</v>
      </c>
      <c r="G53" s="4">
        <v>261548.04</v>
      </c>
    </row>
    <row r="54" spans="1:7" ht="21.6" customHeight="1">
      <c r="A54" s="22">
        <v>210003688095</v>
      </c>
      <c r="B54" s="6" t="s">
        <v>15</v>
      </c>
      <c r="C54" s="23">
        <v>46118</v>
      </c>
      <c r="D54" s="8" t="s">
        <v>8</v>
      </c>
      <c r="E54" s="9">
        <v>-711.09</v>
      </c>
      <c r="F54" s="10">
        <v>0</v>
      </c>
      <c r="G54" s="24">
        <v>260836.95</v>
      </c>
    </row>
    <row r="55" spans="1:7" ht="33" customHeight="1">
      <c r="A55" s="21">
        <v>677203766595</v>
      </c>
      <c r="B55" s="13" t="s">
        <v>14</v>
      </c>
      <c r="C55" s="2">
        <v>46118</v>
      </c>
      <c r="D55" s="15" t="s">
        <v>10</v>
      </c>
      <c r="E55" s="16">
        <v>0</v>
      </c>
      <c r="F55" s="4">
        <v>16593</v>
      </c>
      <c r="G55" s="4">
        <v>277429.95</v>
      </c>
    </row>
    <row r="56" spans="1:7" ht="21.6" customHeight="1">
      <c r="A56" s="22">
        <v>210003766595</v>
      </c>
      <c r="B56" s="6" t="s">
        <v>15</v>
      </c>
      <c r="C56" s="23">
        <v>46118</v>
      </c>
      <c r="D56" s="8" t="s">
        <v>8</v>
      </c>
      <c r="E56" s="9">
        <v>-248.89</v>
      </c>
      <c r="F56" s="10">
        <v>0</v>
      </c>
      <c r="G56" s="24">
        <v>277181.06</v>
      </c>
    </row>
    <row r="57" spans="1:7" ht="33" customHeight="1">
      <c r="A57" s="21">
        <v>50960511415</v>
      </c>
      <c r="B57" s="13" t="s">
        <v>23</v>
      </c>
      <c r="C57" s="2">
        <v>46118</v>
      </c>
      <c r="D57" s="15" t="s">
        <v>10</v>
      </c>
      <c r="E57" s="16">
        <v>0</v>
      </c>
      <c r="F57" s="4">
        <v>43139</v>
      </c>
      <c r="G57" s="4">
        <v>320320.06</v>
      </c>
    </row>
    <row r="58" spans="1:7" ht="21.6" customHeight="1">
      <c r="A58" s="22">
        <v>27260511415</v>
      </c>
      <c r="B58" s="6" t="s">
        <v>11</v>
      </c>
      <c r="C58" s="23">
        <v>46118</v>
      </c>
      <c r="D58" s="8" t="s">
        <v>8</v>
      </c>
      <c r="E58" s="9">
        <v>-647.08000000000004</v>
      </c>
      <c r="F58" s="10">
        <v>0</v>
      </c>
      <c r="G58" s="24">
        <v>319672.98</v>
      </c>
    </row>
    <row r="59" spans="1:7" ht="33" customHeight="1">
      <c r="A59" s="21">
        <v>329273943436</v>
      </c>
      <c r="B59" s="13" t="s">
        <v>26</v>
      </c>
      <c r="C59" s="2">
        <v>46118</v>
      </c>
      <c r="D59" s="15" t="s">
        <v>8</v>
      </c>
      <c r="E59" s="18">
        <v>-64000</v>
      </c>
      <c r="F59" s="3">
        <v>0</v>
      </c>
      <c r="G59" s="4">
        <v>255672.98</v>
      </c>
    </row>
    <row r="60" spans="1:7" ht="15.75" customHeight="1">
      <c r="A60" s="22">
        <v>676273943436</v>
      </c>
      <c r="B60" s="6" t="s">
        <v>13</v>
      </c>
      <c r="C60" s="23">
        <v>46118</v>
      </c>
      <c r="D60" s="8" t="s">
        <v>8</v>
      </c>
      <c r="E60" s="9">
        <v>-160</v>
      </c>
      <c r="F60" s="10">
        <v>0</v>
      </c>
      <c r="G60" s="24">
        <v>255512.98</v>
      </c>
    </row>
    <row r="61" spans="1:7" ht="54.95" customHeight="1"/>
    <row r="62" spans="1:7" ht="33" customHeight="1">
      <c r="A62" s="21">
        <v>50926226997</v>
      </c>
      <c r="B62" s="13" t="s">
        <v>17</v>
      </c>
      <c r="C62" s="2">
        <v>46118</v>
      </c>
      <c r="D62" s="15" t="s">
        <v>10</v>
      </c>
      <c r="E62" s="16">
        <v>0</v>
      </c>
      <c r="F62" s="4">
        <v>28443.59</v>
      </c>
      <c r="G62" s="4">
        <v>283956.57</v>
      </c>
    </row>
    <row r="63" spans="1:7" ht="21.6" customHeight="1">
      <c r="A63" s="22">
        <v>27226226997</v>
      </c>
      <c r="B63" s="6" t="s">
        <v>11</v>
      </c>
      <c r="C63" s="23">
        <v>46118</v>
      </c>
      <c r="D63" s="8" t="s">
        <v>8</v>
      </c>
      <c r="E63" s="9">
        <v>-426.65</v>
      </c>
      <c r="F63" s="10">
        <v>0</v>
      </c>
      <c r="G63" s="24">
        <v>283529.92</v>
      </c>
    </row>
    <row r="64" spans="1:7" ht="33" customHeight="1">
      <c r="A64" s="21">
        <v>677204706516</v>
      </c>
      <c r="B64" s="13" t="s">
        <v>14</v>
      </c>
      <c r="C64" s="2">
        <v>46119</v>
      </c>
      <c r="D64" s="15" t="s">
        <v>10</v>
      </c>
      <c r="E64" s="16">
        <v>0</v>
      </c>
      <c r="F64" s="4">
        <v>14222</v>
      </c>
      <c r="G64" s="4">
        <v>297751.92</v>
      </c>
    </row>
    <row r="65" spans="1:7" ht="21.6" customHeight="1">
      <c r="A65" s="22">
        <v>210004706516</v>
      </c>
      <c r="B65" s="6" t="s">
        <v>15</v>
      </c>
      <c r="C65" s="23">
        <v>46119</v>
      </c>
      <c r="D65" s="8" t="s">
        <v>8</v>
      </c>
      <c r="E65" s="9">
        <v>-213.33</v>
      </c>
      <c r="F65" s="10">
        <v>0</v>
      </c>
      <c r="G65" s="24">
        <v>297538.59000000003</v>
      </c>
    </row>
    <row r="66" spans="1:7" ht="33" customHeight="1">
      <c r="A66" s="21">
        <v>50957715074</v>
      </c>
      <c r="B66" s="13" t="s">
        <v>9</v>
      </c>
      <c r="C66" s="2">
        <v>46119</v>
      </c>
      <c r="D66" s="15" t="s">
        <v>10</v>
      </c>
      <c r="E66" s="16">
        <v>0</v>
      </c>
      <c r="F66" s="4">
        <v>9490</v>
      </c>
      <c r="G66" s="4">
        <v>307028.59000000003</v>
      </c>
    </row>
    <row r="67" spans="1:7" ht="21.6" customHeight="1">
      <c r="A67" s="22">
        <v>27257715074</v>
      </c>
      <c r="B67" s="6" t="s">
        <v>11</v>
      </c>
      <c r="C67" s="23">
        <v>46119</v>
      </c>
      <c r="D67" s="8" t="s">
        <v>8</v>
      </c>
      <c r="E67" s="9">
        <v>-142.35</v>
      </c>
      <c r="F67" s="10">
        <v>0</v>
      </c>
      <c r="G67" s="24">
        <v>306886.24</v>
      </c>
    </row>
    <row r="68" spans="1:7" ht="33" customHeight="1">
      <c r="A68" s="21">
        <v>50958107613</v>
      </c>
      <c r="B68" s="13" t="s">
        <v>9</v>
      </c>
      <c r="C68" s="2">
        <v>46120</v>
      </c>
      <c r="D68" s="15" t="s">
        <v>10</v>
      </c>
      <c r="E68" s="16">
        <v>0</v>
      </c>
      <c r="F68" s="4">
        <v>23750</v>
      </c>
      <c r="G68" s="4">
        <v>330636.24</v>
      </c>
    </row>
    <row r="69" spans="1:7" ht="21.6" customHeight="1">
      <c r="A69" s="22">
        <v>27258107613</v>
      </c>
      <c r="B69" s="6" t="s">
        <v>11</v>
      </c>
      <c r="C69" s="23">
        <v>46120</v>
      </c>
      <c r="D69" s="8" t="s">
        <v>8</v>
      </c>
      <c r="E69" s="9">
        <v>-356.25</v>
      </c>
      <c r="F69" s="10">
        <v>0</v>
      </c>
      <c r="G69" s="24">
        <v>330279.99</v>
      </c>
    </row>
    <row r="70" spans="1:7" ht="33" customHeight="1">
      <c r="A70" s="21">
        <v>50985876900</v>
      </c>
      <c r="B70" s="13" t="s">
        <v>23</v>
      </c>
      <c r="C70" s="2">
        <v>46120</v>
      </c>
      <c r="D70" s="15" t="s">
        <v>10</v>
      </c>
      <c r="E70" s="16">
        <v>0</v>
      </c>
      <c r="F70" s="4">
        <v>9500</v>
      </c>
      <c r="G70" s="4">
        <v>339779.99</v>
      </c>
    </row>
    <row r="71" spans="1:7" ht="21.6" customHeight="1">
      <c r="A71" s="22">
        <v>27285876900</v>
      </c>
      <c r="B71" s="6" t="s">
        <v>11</v>
      </c>
      <c r="C71" s="23">
        <v>46120</v>
      </c>
      <c r="D71" s="8" t="s">
        <v>8</v>
      </c>
      <c r="E71" s="9">
        <v>-142.5</v>
      </c>
      <c r="F71" s="10">
        <v>0</v>
      </c>
      <c r="G71" s="24">
        <v>339637.49</v>
      </c>
    </row>
    <row r="72" spans="1:7" ht="33" customHeight="1">
      <c r="A72" s="21">
        <v>50927938164</v>
      </c>
      <c r="B72" s="13" t="s">
        <v>17</v>
      </c>
      <c r="C72" s="2">
        <v>46120</v>
      </c>
      <c r="D72" s="15" t="s">
        <v>10</v>
      </c>
      <c r="E72" s="16">
        <v>0</v>
      </c>
      <c r="F72" s="4">
        <v>23750.42</v>
      </c>
      <c r="G72" s="4">
        <v>363387.91</v>
      </c>
    </row>
    <row r="73" spans="1:7" ht="21.6" customHeight="1">
      <c r="A73" s="22">
        <v>27227938164</v>
      </c>
      <c r="B73" s="6" t="s">
        <v>11</v>
      </c>
      <c r="C73" s="23">
        <v>46120</v>
      </c>
      <c r="D73" s="8" t="s">
        <v>8</v>
      </c>
      <c r="E73" s="9">
        <v>-356.26</v>
      </c>
      <c r="F73" s="10">
        <v>0</v>
      </c>
      <c r="G73" s="24">
        <v>363031.65</v>
      </c>
    </row>
    <row r="74" spans="1:7" ht="33" customHeight="1">
      <c r="A74" s="21">
        <v>677208413867</v>
      </c>
      <c r="B74" s="13" t="s">
        <v>14</v>
      </c>
      <c r="C74" s="2">
        <v>46121</v>
      </c>
      <c r="D74" s="15" t="s">
        <v>10</v>
      </c>
      <c r="E74" s="16">
        <v>0</v>
      </c>
      <c r="F74" s="4">
        <v>28558</v>
      </c>
      <c r="G74" s="4">
        <v>391589.65</v>
      </c>
    </row>
    <row r="75" spans="1:7" ht="15.75" customHeight="1">
      <c r="A75" s="22">
        <v>210008413867</v>
      </c>
      <c r="B75" s="6" t="s">
        <v>15</v>
      </c>
      <c r="C75" s="23">
        <v>46121</v>
      </c>
      <c r="D75" s="8" t="s">
        <v>8</v>
      </c>
      <c r="E75" s="9">
        <v>-428.37</v>
      </c>
      <c r="F75" s="10">
        <v>0</v>
      </c>
      <c r="G75" s="24">
        <v>391161.28</v>
      </c>
    </row>
    <row r="76" spans="1:7" ht="54.95" customHeight="1"/>
    <row r="77" spans="1:7" ht="33" customHeight="1">
      <c r="A77" s="21">
        <v>677208435093</v>
      </c>
      <c r="B77" s="13" t="s">
        <v>19</v>
      </c>
      <c r="C77" s="2">
        <v>46121</v>
      </c>
      <c r="D77" s="15" t="s">
        <v>10</v>
      </c>
      <c r="E77" s="16">
        <v>0</v>
      </c>
      <c r="F77" s="4">
        <v>33317.08</v>
      </c>
      <c r="G77" s="4">
        <v>424478.36</v>
      </c>
    </row>
    <row r="78" spans="1:7" ht="21.6" customHeight="1">
      <c r="A78" s="22">
        <v>210008435093</v>
      </c>
      <c r="B78" s="6" t="s">
        <v>15</v>
      </c>
      <c r="C78" s="23">
        <v>46121</v>
      </c>
      <c r="D78" s="8" t="s">
        <v>8</v>
      </c>
      <c r="E78" s="9">
        <v>-499.76</v>
      </c>
      <c r="F78" s="10">
        <v>0</v>
      </c>
      <c r="G78" s="24">
        <v>423978.6</v>
      </c>
    </row>
    <row r="79" spans="1:7" ht="33" customHeight="1">
      <c r="A79" s="21">
        <v>677208629341</v>
      </c>
      <c r="B79" s="13" t="s">
        <v>14</v>
      </c>
      <c r="C79" s="2">
        <v>46121</v>
      </c>
      <c r="D79" s="15" t="s">
        <v>10</v>
      </c>
      <c r="E79" s="16">
        <v>0</v>
      </c>
      <c r="F79" s="4">
        <v>9520</v>
      </c>
      <c r="G79" s="4">
        <v>433498.6</v>
      </c>
    </row>
    <row r="80" spans="1:7" ht="21.6" customHeight="1">
      <c r="A80" s="22">
        <v>210008629341</v>
      </c>
      <c r="B80" s="6" t="s">
        <v>15</v>
      </c>
      <c r="C80" s="23">
        <v>46121</v>
      </c>
      <c r="D80" s="8" t="s">
        <v>8</v>
      </c>
      <c r="E80" s="9">
        <v>-142.80000000000001</v>
      </c>
      <c r="F80" s="10">
        <v>0</v>
      </c>
      <c r="G80" s="24">
        <v>433355.8</v>
      </c>
    </row>
    <row r="81" spans="1:7" ht="33" customHeight="1">
      <c r="A81" s="21">
        <v>50958360257</v>
      </c>
      <c r="B81" s="13" t="s">
        <v>9</v>
      </c>
      <c r="C81" s="2">
        <v>46121</v>
      </c>
      <c r="D81" s="15" t="s">
        <v>10</v>
      </c>
      <c r="E81" s="16">
        <v>0</v>
      </c>
      <c r="F81" s="4">
        <v>15000</v>
      </c>
      <c r="G81" s="4">
        <v>448355.8</v>
      </c>
    </row>
    <row r="82" spans="1:7" ht="21.6" customHeight="1">
      <c r="A82" s="22">
        <v>27258360257</v>
      </c>
      <c r="B82" s="6" t="s">
        <v>11</v>
      </c>
      <c r="C82" s="23">
        <v>46121</v>
      </c>
      <c r="D82" s="8" t="s">
        <v>8</v>
      </c>
      <c r="E82" s="9">
        <v>-225</v>
      </c>
      <c r="F82" s="10">
        <v>0</v>
      </c>
      <c r="G82" s="24">
        <v>448130.8</v>
      </c>
    </row>
    <row r="83" spans="1:7" ht="33" customHeight="1">
      <c r="A83" s="21">
        <v>329275002623</v>
      </c>
      <c r="B83" s="13" t="s">
        <v>27</v>
      </c>
      <c r="C83" s="2">
        <v>46121</v>
      </c>
      <c r="D83" s="15" t="s">
        <v>8</v>
      </c>
      <c r="E83" s="18">
        <v>-20000</v>
      </c>
      <c r="F83" s="3">
        <v>0</v>
      </c>
      <c r="G83" s="4">
        <v>428130.8</v>
      </c>
    </row>
    <row r="84" spans="1:7" ht="21.6" customHeight="1">
      <c r="A84" s="22">
        <v>676275002623</v>
      </c>
      <c r="B84" s="6" t="s">
        <v>13</v>
      </c>
      <c r="C84" s="23">
        <v>46121</v>
      </c>
      <c r="D84" s="8" t="s">
        <v>8</v>
      </c>
      <c r="E84" s="9">
        <v>-50</v>
      </c>
      <c r="F84" s="10">
        <v>0</v>
      </c>
      <c r="G84" s="24">
        <v>428080.8</v>
      </c>
    </row>
    <row r="85" spans="1:7" ht="33" customHeight="1">
      <c r="A85" s="21">
        <v>329275031270</v>
      </c>
      <c r="B85" s="13" t="s">
        <v>28</v>
      </c>
      <c r="C85" s="2">
        <v>46122</v>
      </c>
      <c r="D85" s="15" t="s">
        <v>8</v>
      </c>
      <c r="E85" s="18">
        <v>-20000</v>
      </c>
      <c r="F85" s="3">
        <v>0</v>
      </c>
      <c r="G85" s="4">
        <v>408080.8</v>
      </c>
    </row>
    <row r="86" spans="1:7" ht="21.6" customHeight="1">
      <c r="A86" s="22">
        <v>676275031270</v>
      </c>
      <c r="B86" s="6" t="s">
        <v>13</v>
      </c>
      <c r="C86" s="23">
        <v>46122</v>
      </c>
      <c r="D86" s="8" t="s">
        <v>8</v>
      </c>
      <c r="E86" s="9">
        <v>-50</v>
      </c>
      <c r="F86" s="10">
        <v>0</v>
      </c>
      <c r="G86" s="24">
        <v>408030.8</v>
      </c>
    </row>
    <row r="87" spans="1:7" ht="33" customHeight="1">
      <c r="A87" s="21">
        <v>329275062690</v>
      </c>
      <c r="B87" s="13" t="s">
        <v>29</v>
      </c>
      <c r="C87" s="2">
        <v>46122</v>
      </c>
      <c r="D87" s="15" t="s">
        <v>8</v>
      </c>
      <c r="E87" s="18">
        <v>-100000</v>
      </c>
      <c r="F87" s="3">
        <v>0</v>
      </c>
      <c r="G87" s="4">
        <v>308030.8</v>
      </c>
    </row>
    <row r="88" spans="1:7" ht="21.6" customHeight="1">
      <c r="A88" s="22">
        <v>676275062690</v>
      </c>
      <c r="B88" s="6" t="s">
        <v>13</v>
      </c>
      <c r="C88" s="23">
        <v>46122</v>
      </c>
      <c r="D88" s="8" t="s">
        <v>8</v>
      </c>
      <c r="E88" s="9">
        <v>-250</v>
      </c>
      <c r="F88" s="10">
        <v>0</v>
      </c>
      <c r="G88" s="24">
        <v>307780.8</v>
      </c>
    </row>
    <row r="89" spans="1:7" ht="33" customHeight="1">
      <c r="A89" s="21">
        <v>50958673367</v>
      </c>
      <c r="B89" s="13" t="s">
        <v>9</v>
      </c>
      <c r="C89" s="2">
        <v>46122</v>
      </c>
      <c r="D89" s="15" t="s">
        <v>10</v>
      </c>
      <c r="E89" s="16">
        <v>0</v>
      </c>
      <c r="F89" s="4">
        <v>47650</v>
      </c>
      <c r="G89" s="4">
        <v>355430.8</v>
      </c>
    </row>
    <row r="90" spans="1:7" ht="15.75" customHeight="1">
      <c r="A90" s="22">
        <v>27258673367</v>
      </c>
      <c r="B90" s="6" t="s">
        <v>11</v>
      </c>
      <c r="C90" s="23">
        <v>46122</v>
      </c>
      <c r="D90" s="8" t="s">
        <v>8</v>
      </c>
      <c r="E90" s="9">
        <v>-714.75</v>
      </c>
      <c r="F90" s="10">
        <v>0</v>
      </c>
      <c r="G90" s="24">
        <v>354716.05</v>
      </c>
    </row>
    <row r="91" spans="1:7" ht="54.95" customHeight="1"/>
    <row r="92" spans="1:7" ht="33" customHeight="1">
      <c r="A92" s="21">
        <v>50902013068</v>
      </c>
      <c r="B92" s="13" t="s">
        <v>23</v>
      </c>
      <c r="C92" s="2">
        <v>46122</v>
      </c>
      <c r="D92" s="15" t="s">
        <v>10</v>
      </c>
      <c r="E92" s="16">
        <v>0</v>
      </c>
      <c r="F92" s="4">
        <v>19057</v>
      </c>
      <c r="G92" s="4">
        <v>373773.05</v>
      </c>
    </row>
    <row r="93" spans="1:7" ht="21.6" customHeight="1">
      <c r="A93" s="22">
        <v>27202013068</v>
      </c>
      <c r="B93" s="6" t="s">
        <v>11</v>
      </c>
      <c r="C93" s="23">
        <v>46122</v>
      </c>
      <c r="D93" s="8" t="s">
        <v>8</v>
      </c>
      <c r="E93" s="9">
        <v>-285.85000000000002</v>
      </c>
      <c r="F93" s="10">
        <v>0</v>
      </c>
      <c r="G93" s="24">
        <v>373487.2</v>
      </c>
    </row>
    <row r="94" spans="1:7" ht="33" customHeight="1">
      <c r="A94" s="21">
        <v>677211297315</v>
      </c>
      <c r="B94" s="13" t="s">
        <v>19</v>
      </c>
      <c r="C94" s="2">
        <v>46122</v>
      </c>
      <c r="D94" s="15" t="s">
        <v>10</v>
      </c>
      <c r="E94" s="16">
        <v>0</v>
      </c>
      <c r="F94" s="4">
        <v>7622.95</v>
      </c>
      <c r="G94" s="4">
        <v>381110.15</v>
      </c>
    </row>
    <row r="95" spans="1:7" ht="21.6" customHeight="1">
      <c r="A95" s="22">
        <v>210011297315</v>
      </c>
      <c r="B95" s="6" t="s">
        <v>15</v>
      </c>
      <c r="C95" s="23">
        <v>46122</v>
      </c>
      <c r="D95" s="8" t="s">
        <v>8</v>
      </c>
      <c r="E95" s="9">
        <v>-114.34</v>
      </c>
      <c r="F95" s="10">
        <v>0</v>
      </c>
      <c r="G95" s="24">
        <v>380995.81</v>
      </c>
    </row>
    <row r="96" spans="1:7" ht="33" customHeight="1">
      <c r="A96" s="21">
        <v>50903708375</v>
      </c>
      <c r="B96" s="13" t="s">
        <v>23</v>
      </c>
      <c r="C96" s="2">
        <v>46122</v>
      </c>
      <c r="D96" s="15" t="s">
        <v>10</v>
      </c>
      <c r="E96" s="16">
        <v>0</v>
      </c>
      <c r="F96" s="4">
        <v>19057.2</v>
      </c>
      <c r="G96" s="4">
        <v>400053.01</v>
      </c>
    </row>
    <row r="97" spans="1:7" ht="21.6" customHeight="1">
      <c r="A97" s="22">
        <v>27203708375</v>
      </c>
      <c r="B97" s="6" t="s">
        <v>11</v>
      </c>
      <c r="C97" s="23">
        <v>46122</v>
      </c>
      <c r="D97" s="8" t="s">
        <v>8</v>
      </c>
      <c r="E97" s="9">
        <v>-285.86</v>
      </c>
      <c r="F97" s="10">
        <v>0</v>
      </c>
      <c r="G97" s="24">
        <v>399767.15</v>
      </c>
    </row>
    <row r="98" spans="1:7" ht="33" customHeight="1">
      <c r="A98" s="21">
        <v>50958911190</v>
      </c>
      <c r="B98" s="13" t="s">
        <v>9</v>
      </c>
      <c r="C98" s="2">
        <v>46123</v>
      </c>
      <c r="D98" s="15" t="s">
        <v>10</v>
      </c>
      <c r="E98" s="16">
        <v>0</v>
      </c>
      <c r="F98" s="4">
        <v>14300</v>
      </c>
      <c r="G98" s="4">
        <v>414067.15</v>
      </c>
    </row>
    <row r="99" spans="1:7" ht="21.6" customHeight="1">
      <c r="A99" s="22">
        <v>27258911190</v>
      </c>
      <c r="B99" s="6" t="s">
        <v>11</v>
      </c>
      <c r="C99" s="23">
        <v>46123</v>
      </c>
      <c r="D99" s="8" t="s">
        <v>8</v>
      </c>
      <c r="E99" s="9">
        <v>-214.5</v>
      </c>
      <c r="F99" s="10">
        <v>0</v>
      </c>
      <c r="G99" s="24">
        <v>413852.65</v>
      </c>
    </row>
    <row r="100" spans="1:7" ht="33" customHeight="1">
      <c r="A100" s="21">
        <v>329276247417</v>
      </c>
      <c r="B100" s="13" t="s">
        <v>30</v>
      </c>
      <c r="C100" s="2">
        <v>46123</v>
      </c>
      <c r="D100" s="15" t="s">
        <v>8</v>
      </c>
      <c r="E100" s="18">
        <v>-12000</v>
      </c>
      <c r="F100" s="3">
        <v>0</v>
      </c>
      <c r="G100" s="4">
        <v>401852.65</v>
      </c>
    </row>
    <row r="101" spans="1:7" ht="21.6" customHeight="1">
      <c r="A101" s="22">
        <v>676276247417</v>
      </c>
      <c r="B101" s="6" t="s">
        <v>13</v>
      </c>
      <c r="C101" s="23">
        <v>46123</v>
      </c>
      <c r="D101" s="8" t="s">
        <v>8</v>
      </c>
      <c r="E101" s="9">
        <v>-30</v>
      </c>
      <c r="F101" s="10">
        <v>0</v>
      </c>
      <c r="G101" s="24">
        <v>401822.65</v>
      </c>
    </row>
    <row r="102" spans="1:7" ht="33" customHeight="1">
      <c r="A102" s="21">
        <v>329276263504</v>
      </c>
      <c r="B102" s="13" t="s">
        <v>31</v>
      </c>
      <c r="C102" s="2">
        <v>46123</v>
      </c>
      <c r="D102" s="15" t="s">
        <v>8</v>
      </c>
      <c r="E102" s="18">
        <v>-20000</v>
      </c>
      <c r="F102" s="3">
        <v>0</v>
      </c>
      <c r="G102" s="4">
        <v>381822.65</v>
      </c>
    </row>
    <row r="103" spans="1:7" ht="21.6" customHeight="1">
      <c r="A103" s="22">
        <v>676276263504</v>
      </c>
      <c r="B103" s="6" t="s">
        <v>13</v>
      </c>
      <c r="C103" s="23">
        <v>46123</v>
      </c>
      <c r="D103" s="8" t="s">
        <v>8</v>
      </c>
      <c r="E103" s="9">
        <v>-50</v>
      </c>
      <c r="F103" s="10">
        <v>0</v>
      </c>
      <c r="G103" s="24">
        <v>381772.65</v>
      </c>
    </row>
    <row r="104" spans="1:7" ht="33" customHeight="1">
      <c r="A104" s="21">
        <v>329276265418</v>
      </c>
      <c r="B104" s="13" t="s">
        <v>32</v>
      </c>
      <c r="C104" s="2">
        <v>46123</v>
      </c>
      <c r="D104" s="15" t="s">
        <v>8</v>
      </c>
      <c r="E104" s="18">
        <v>-80000</v>
      </c>
      <c r="F104" s="3">
        <v>0</v>
      </c>
      <c r="G104" s="4">
        <v>301772.65000000002</v>
      </c>
    </row>
    <row r="105" spans="1:7" ht="15.75" customHeight="1">
      <c r="A105" s="22">
        <v>676276265418</v>
      </c>
      <c r="B105" s="6" t="s">
        <v>13</v>
      </c>
      <c r="C105" s="23">
        <v>46123</v>
      </c>
      <c r="D105" s="8" t="s">
        <v>8</v>
      </c>
      <c r="E105" s="9">
        <v>-200</v>
      </c>
      <c r="F105" s="10">
        <v>0</v>
      </c>
      <c r="G105" s="24">
        <v>301572.65000000002</v>
      </c>
    </row>
    <row r="106" spans="1:7" ht="54.95" customHeight="1"/>
    <row r="107" spans="1:7" ht="33" customHeight="1">
      <c r="A107" s="21">
        <v>329276269034</v>
      </c>
      <c r="B107" s="13" t="s">
        <v>33</v>
      </c>
      <c r="C107" s="2">
        <v>46123</v>
      </c>
      <c r="D107" s="15" t="s">
        <v>8</v>
      </c>
      <c r="E107" s="18">
        <v>-250000</v>
      </c>
      <c r="F107" s="3">
        <v>0</v>
      </c>
      <c r="G107" s="4">
        <v>51572.65</v>
      </c>
    </row>
    <row r="108" spans="1:7" ht="21.6" customHeight="1">
      <c r="A108" s="22">
        <v>676276269034</v>
      </c>
      <c r="B108" s="6" t="s">
        <v>13</v>
      </c>
      <c r="C108" s="23">
        <v>46123</v>
      </c>
      <c r="D108" s="8" t="s">
        <v>8</v>
      </c>
      <c r="E108" s="9">
        <v>-625</v>
      </c>
      <c r="F108" s="10">
        <v>0</v>
      </c>
      <c r="G108" s="24">
        <v>50947.65</v>
      </c>
    </row>
    <row r="109" spans="1:7" ht="33" customHeight="1">
      <c r="A109" s="21">
        <v>329276271412</v>
      </c>
      <c r="B109" s="13" t="s">
        <v>34</v>
      </c>
      <c r="C109" s="2">
        <v>46123</v>
      </c>
      <c r="D109" s="15" t="s">
        <v>8</v>
      </c>
      <c r="E109" s="18">
        <v>-50000</v>
      </c>
      <c r="F109" s="3">
        <v>0</v>
      </c>
      <c r="G109" s="3">
        <v>947.65</v>
      </c>
    </row>
    <row r="110" spans="1:7" ht="21.6" customHeight="1">
      <c r="A110" s="22">
        <v>676276271412</v>
      </c>
      <c r="B110" s="6" t="s">
        <v>13</v>
      </c>
      <c r="C110" s="23">
        <v>46123</v>
      </c>
      <c r="D110" s="8" t="s">
        <v>8</v>
      </c>
      <c r="E110" s="9">
        <v>-125</v>
      </c>
      <c r="F110" s="10">
        <v>0</v>
      </c>
      <c r="G110" s="10">
        <v>822.65</v>
      </c>
    </row>
    <row r="111" spans="1:7" ht="33" customHeight="1">
      <c r="A111" s="21">
        <v>677213796117</v>
      </c>
      <c r="B111" s="13" t="s">
        <v>14</v>
      </c>
      <c r="C111" s="2">
        <v>46123</v>
      </c>
      <c r="D111" s="15" t="s">
        <v>10</v>
      </c>
      <c r="E111" s="16">
        <v>0</v>
      </c>
      <c r="F111" s="4">
        <v>80994</v>
      </c>
      <c r="G111" s="4">
        <v>81816.649999999994</v>
      </c>
    </row>
    <row r="112" spans="1:7" ht="21.6" customHeight="1">
      <c r="A112" s="22">
        <v>210013796117</v>
      </c>
      <c r="B112" s="6" t="s">
        <v>15</v>
      </c>
      <c r="C112" s="23">
        <v>46123</v>
      </c>
      <c r="D112" s="8" t="s">
        <v>8</v>
      </c>
      <c r="E112" s="25">
        <v>-1214.9100000000001</v>
      </c>
      <c r="F112" s="10">
        <v>0</v>
      </c>
      <c r="G112" s="24">
        <v>80601.740000000005</v>
      </c>
    </row>
    <row r="113" spans="1:7" ht="33" customHeight="1">
      <c r="A113" s="21">
        <v>50927345060</v>
      </c>
      <c r="B113" s="13" t="s">
        <v>23</v>
      </c>
      <c r="C113" s="2">
        <v>46124</v>
      </c>
      <c r="D113" s="15" t="s">
        <v>10</v>
      </c>
      <c r="E113" s="16">
        <v>0</v>
      </c>
      <c r="F113" s="4">
        <v>19086</v>
      </c>
      <c r="G113" s="4">
        <v>99687.74</v>
      </c>
    </row>
    <row r="114" spans="1:7" ht="21.6" customHeight="1">
      <c r="A114" s="22">
        <v>27227345060</v>
      </c>
      <c r="B114" s="6" t="s">
        <v>11</v>
      </c>
      <c r="C114" s="23">
        <v>46124</v>
      </c>
      <c r="D114" s="8" t="s">
        <v>8</v>
      </c>
      <c r="E114" s="9">
        <v>-286.29000000000002</v>
      </c>
      <c r="F114" s="10">
        <v>0</v>
      </c>
      <c r="G114" s="24">
        <v>99401.45</v>
      </c>
    </row>
    <row r="115" spans="1:7" ht="33" customHeight="1">
      <c r="A115" s="21">
        <v>677214303523</v>
      </c>
      <c r="B115" s="13" t="s">
        <v>19</v>
      </c>
      <c r="C115" s="2">
        <v>46124</v>
      </c>
      <c r="D115" s="15" t="s">
        <v>10</v>
      </c>
      <c r="E115" s="16">
        <v>0</v>
      </c>
      <c r="F115" s="4">
        <v>52486.37</v>
      </c>
      <c r="G115" s="4">
        <v>151887.82</v>
      </c>
    </row>
    <row r="116" spans="1:7" ht="21.6" customHeight="1">
      <c r="A116" s="22">
        <v>210014303523</v>
      </c>
      <c r="B116" s="6" t="s">
        <v>15</v>
      </c>
      <c r="C116" s="23">
        <v>46124</v>
      </c>
      <c r="D116" s="8" t="s">
        <v>8</v>
      </c>
      <c r="E116" s="9">
        <v>-787.3</v>
      </c>
      <c r="F116" s="10">
        <v>0</v>
      </c>
      <c r="G116" s="24">
        <v>151100.51999999999</v>
      </c>
    </row>
    <row r="117" spans="1:7" ht="33" customHeight="1">
      <c r="A117" s="21">
        <v>50959335795</v>
      </c>
      <c r="B117" s="13" t="s">
        <v>9</v>
      </c>
      <c r="C117" s="2">
        <v>46124</v>
      </c>
      <c r="D117" s="15" t="s">
        <v>10</v>
      </c>
      <c r="E117" s="16">
        <v>0</v>
      </c>
      <c r="F117" s="4">
        <v>10000</v>
      </c>
      <c r="G117" s="4">
        <v>161100.51999999999</v>
      </c>
    </row>
    <row r="118" spans="1:7" ht="21.6" customHeight="1">
      <c r="A118" s="22">
        <v>27259335795</v>
      </c>
      <c r="B118" s="6" t="s">
        <v>11</v>
      </c>
      <c r="C118" s="23">
        <v>46124</v>
      </c>
      <c r="D118" s="8" t="s">
        <v>8</v>
      </c>
      <c r="E118" s="9">
        <v>-150</v>
      </c>
      <c r="F118" s="10">
        <v>0</v>
      </c>
      <c r="G118" s="24">
        <v>160950.51999999999</v>
      </c>
    </row>
    <row r="119" spans="1:7" ht="33" customHeight="1">
      <c r="A119" s="21">
        <v>50931611559</v>
      </c>
      <c r="B119" s="13" t="s">
        <v>17</v>
      </c>
      <c r="C119" s="2">
        <v>46124</v>
      </c>
      <c r="D119" s="15" t="s">
        <v>10</v>
      </c>
      <c r="E119" s="16">
        <v>0</v>
      </c>
      <c r="F119" s="4">
        <v>47714.879999999997</v>
      </c>
      <c r="G119" s="4">
        <v>208665.4</v>
      </c>
    </row>
    <row r="120" spans="1:7" ht="15.75" customHeight="1">
      <c r="A120" s="22">
        <v>27231611559</v>
      </c>
      <c r="B120" s="6" t="s">
        <v>11</v>
      </c>
      <c r="C120" s="23">
        <v>46124</v>
      </c>
      <c r="D120" s="8" t="s">
        <v>8</v>
      </c>
      <c r="E120" s="9">
        <v>-715.72</v>
      </c>
      <c r="F120" s="10">
        <v>0</v>
      </c>
      <c r="G120" s="24">
        <v>207949.68</v>
      </c>
    </row>
    <row r="121" spans="1:7" ht="54.95" customHeight="1"/>
    <row r="122" spans="1:7" ht="33" customHeight="1">
      <c r="A122" s="21">
        <v>677215944915</v>
      </c>
      <c r="B122" s="13" t="s">
        <v>19</v>
      </c>
      <c r="C122" s="2">
        <v>46125</v>
      </c>
      <c r="D122" s="15" t="s">
        <v>10</v>
      </c>
      <c r="E122" s="16">
        <v>0</v>
      </c>
      <c r="F122" s="3">
        <v>1</v>
      </c>
      <c r="G122" s="4">
        <v>207950.68</v>
      </c>
    </row>
    <row r="123" spans="1:7" ht="21.6" customHeight="1">
      <c r="A123" s="22">
        <v>210015944915</v>
      </c>
      <c r="B123" s="6" t="s">
        <v>15</v>
      </c>
      <c r="C123" s="23">
        <v>46125</v>
      </c>
      <c r="D123" s="8" t="s">
        <v>8</v>
      </c>
      <c r="E123" s="9">
        <v>-2</v>
      </c>
      <c r="F123" s="10">
        <v>0</v>
      </c>
      <c r="G123" s="24">
        <v>207948.68</v>
      </c>
    </row>
    <row r="124" spans="1:7" ht="33" customHeight="1">
      <c r="A124" s="21">
        <v>50930967201</v>
      </c>
      <c r="B124" s="13" t="s">
        <v>23</v>
      </c>
      <c r="C124" s="2">
        <v>46125</v>
      </c>
      <c r="D124" s="15" t="s">
        <v>10</v>
      </c>
      <c r="E124" s="16">
        <v>0</v>
      </c>
      <c r="F124" s="4">
        <v>19086</v>
      </c>
      <c r="G124" s="4">
        <v>227034.68</v>
      </c>
    </row>
    <row r="125" spans="1:7" ht="21.6" customHeight="1">
      <c r="A125" s="22">
        <v>27230967201</v>
      </c>
      <c r="B125" s="6" t="s">
        <v>11</v>
      </c>
      <c r="C125" s="23">
        <v>46125</v>
      </c>
      <c r="D125" s="8" t="s">
        <v>8</v>
      </c>
      <c r="E125" s="9">
        <v>-286.29000000000002</v>
      </c>
      <c r="F125" s="10">
        <v>0</v>
      </c>
      <c r="G125" s="24">
        <v>226748.39</v>
      </c>
    </row>
    <row r="126" spans="1:7" ht="33" customHeight="1">
      <c r="A126" s="21">
        <v>50959558554</v>
      </c>
      <c r="B126" s="13" t="s">
        <v>9</v>
      </c>
      <c r="C126" s="2">
        <v>46125</v>
      </c>
      <c r="D126" s="15" t="s">
        <v>10</v>
      </c>
      <c r="E126" s="16">
        <v>0</v>
      </c>
      <c r="F126" s="4">
        <v>47715</v>
      </c>
      <c r="G126" s="4">
        <v>274463.39</v>
      </c>
    </row>
    <row r="127" spans="1:7" ht="21.6" customHeight="1">
      <c r="A127" s="22">
        <v>27259558554</v>
      </c>
      <c r="B127" s="6" t="s">
        <v>11</v>
      </c>
      <c r="C127" s="23">
        <v>46125</v>
      </c>
      <c r="D127" s="8" t="s">
        <v>8</v>
      </c>
      <c r="E127" s="9">
        <v>-715.73</v>
      </c>
      <c r="F127" s="10">
        <v>0</v>
      </c>
      <c r="G127" s="24">
        <v>273747.65999999997</v>
      </c>
    </row>
    <row r="128" spans="1:7" ht="33" customHeight="1">
      <c r="A128" s="21">
        <v>677216483699</v>
      </c>
      <c r="B128" s="13" t="s">
        <v>19</v>
      </c>
      <c r="C128" s="2">
        <v>46125</v>
      </c>
      <c r="D128" s="15" t="s">
        <v>10</v>
      </c>
      <c r="E128" s="16">
        <v>0</v>
      </c>
      <c r="F128" s="4">
        <v>14413.46</v>
      </c>
      <c r="G128" s="4">
        <v>288161.12</v>
      </c>
    </row>
    <row r="129" spans="1:7" ht="21.6" customHeight="1">
      <c r="A129" s="22">
        <v>210016483699</v>
      </c>
      <c r="B129" s="6" t="s">
        <v>15</v>
      </c>
      <c r="C129" s="23">
        <v>46125</v>
      </c>
      <c r="D129" s="8" t="s">
        <v>8</v>
      </c>
      <c r="E129" s="9">
        <v>-216.2</v>
      </c>
      <c r="F129" s="10">
        <v>0</v>
      </c>
      <c r="G129" s="24">
        <v>287944.92</v>
      </c>
    </row>
    <row r="130" spans="1:7" ht="33" customHeight="1">
      <c r="A130" s="21">
        <v>329276410884</v>
      </c>
      <c r="B130" s="13" t="s">
        <v>35</v>
      </c>
      <c r="C130" s="2">
        <v>46125</v>
      </c>
      <c r="D130" s="15" t="s">
        <v>8</v>
      </c>
      <c r="E130" s="18">
        <v>-100000</v>
      </c>
      <c r="F130" s="3">
        <v>0</v>
      </c>
      <c r="G130" s="4">
        <v>187944.92</v>
      </c>
    </row>
    <row r="131" spans="1:7" ht="21.6" customHeight="1">
      <c r="A131" s="22">
        <v>676276410884</v>
      </c>
      <c r="B131" s="6" t="s">
        <v>13</v>
      </c>
      <c r="C131" s="23">
        <v>46125</v>
      </c>
      <c r="D131" s="8" t="s">
        <v>8</v>
      </c>
      <c r="E131" s="9">
        <v>-250</v>
      </c>
      <c r="F131" s="10">
        <v>0</v>
      </c>
      <c r="G131" s="24">
        <v>187694.92</v>
      </c>
    </row>
    <row r="132" spans="1:7" ht="33" customHeight="1">
      <c r="A132" s="21">
        <v>50932435692</v>
      </c>
      <c r="B132" s="13" t="s">
        <v>23</v>
      </c>
      <c r="C132" s="2">
        <v>46125</v>
      </c>
      <c r="D132" s="15" t="s">
        <v>10</v>
      </c>
      <c r="E132" s="16">
        <v>0</v>
      </c>
      <c r="F132" s="4">
        <v>57258</v>
      </c>
      <c r="G132" s="4">
        <v>244952.92</v>
      </c>
    </row>
    <row r="133" spans="1:7" ht="21.6" customHeight="1">
      <c r="A133" s="22">
        <v>27232435692</v>
      </c>
      <c r="B133" s="6" t="s">
        <v>11</v>
      </c>
      <c r="C133" s="23">
        <v>46125</v>
      </c>
      <c r="D133" s="8" t="s">
        <v>8</v>
      </c>
      <c r="E133" s="9">
        <v>-858.87</v>
      </c>
      <c r="F133" s="10">
        <v>0</v>
      </c>
      <c r="G133" s="24">
        <v>244094.05</v>
      </c>
    </row>
    <row r="134" spans="1:7" ht="33" customHeight="1">
      <c r="A134" s="21">
        <v>329276554315</v>
      </c>
      <c r="B134" s="13" t="s">
        <v>36</v>
      </c>
      <c r="C134" s="2">
        <v>46126</v>
      </c>
      <c r="D134" s="15" t="s">
        <v>8</v>
      </c>
      <c r="E134" s="18">
        <v>-40000</v>
      </c>
      <c r="F134" s="3">
        <v>0</v>
      </c>
      <c r="G134" s="4">
        <v>204094.05</v>
      </c>
    </row>
    <row r="135" spans="1:7" ht="15.75" customHeight="1">
      <c r="A135" s="22">
        <v>676276554315</v>
      </c>
      <c r="B135" s="6" t="s">
        <v>13</v>
      </c>
      <c r="C135" s="23">
        <v>46126</v>
      </c>
      <c r="D135" s="8" t="s">
        <v>8</v>
      </c>
      <c r="E135" s="9">
        <v>-100</v>
      </c>
      <c r="F135" s="10">
        <v>0</v>
      </c>
      <c r="G135" s="24">
        <v>203994.05</v>
      </c>
    </row>
    <row r="136" spans="1:7" ht="54.95" customHeight="1"/>
    <row r="137" spans="1:7" ht="33" customHeight="1">
      <c r="A137" s="21">
        <v>50932910999</v>
      </c>
      <c r="B137" s="13" t="s">
        <v>17</v>
      </c>
      <c r="C137" s="2">
        <v>46126</v>
      </c>
      <c r="D137" s="15" t="s">
        <v>10</v>
      </c>
      <c r="E137" s="16">
        <v>0</v>
      </c>
      <c r="F137" s="4">
        <v>32000.94</v>
      </c>
      <c r="G137" s="4">
        <v>235994.99</v>
      </c>
    </row>
    <row r="138" spans="1:7" ht="21.6" customHeight="1">
      <c r="A138" s="22">
        <v>27232910999</v>
      </c>
      <c r="B138" s="6" t="s">
        <v>11</v>
      </c>
      <c r="C138" s="23">
        <v>46126</v>
      </c>
      <c r="D138" s="8" t="s">
        <v>8</v>
      </c>
      <c r="E138" s="9">
        <v>-480.01</v>
      </c>
      <c r="F138" s="10">
        <v>0</v>
      </c>
      <c r="G138" s="24">
        <v>235514.98</v>
      </c>
    </row>
    <row r="139" spans="1:7" ht="33" customHeight="1">
      <c r="A139" s="21">
        <v>50959857077</v>
      </c>
      <c r="B139" s="13" t="s">
        <v>9</v>
      </c>
      <c r="C139" s="2">
        <v>46126</v>
      </c>
      <c r="D139" s="15" t="s">
        <v>10</v>
      </c>
      <c r="E139" s="16">
        <v>0</v>
      </c>
      <c r="F139" s="4">
        <v>33430</v>
      </c>
      <c r="G139" s="4">
        <v>268944.98</v>
      </c>
    </row>
    <row r="140" spans="1:7" ht="21.6" customHeight="1">
      <c r="A140" s="22">
        <v>27259857077</v>
      </c>
      <c r="B140" s="6" t="s">
        <v>11</v>
      </c>
      <c r="C140" s="23">
        <v>46126</v>
      </c>
      <c r="D140" s="8" t="s">
        <v>8</v>
      </c>
      <c r="E140" s="9">
        <v>-501.45</v>
      </c>
      <c r="F140" s="10">
        <v>0</v>
      </c>
      <c r="G140" s="24">
        <v>268443.53000000003</v>
      </c>
    </row>
    <row r="141" spans="1:7" ht="33" customHeight="1">
      <c r="A141" s="21">
        <v>329276696042</v>
      </c>
      <c r="B141" s="13" t="s">
        <v>37</v>
      </c>
      <c r="C141" s="2">
        <v>46126</v>
      </c>
      <c r="D141" s="15" t="s">
        <v>8</v>
      </c>
      <c r="E141" s="18">
        <v>-30000</v>
      </c>
      <c r="F141" s="3">
        <v>0</v>
      </c>
      <c r="G141" s="4">
        <v>238443.53</v>
      </c>
    </row>
    <row r="142" spans="1:7" ht="21.6" customHeight="1">
      <c r="A142" s="22">
        <v>676276696042</v>
      </c>
      <c r="B142" s="6" t="s">
        <v>13</v>
      </c>
      <c r="C142" s="23">
        <v>46126</v>
      </c>
      <c r="D142" s="8" t="s">
        <v>8</v>
      </c>
      <c r="E142" s="9">
        <v>-75</v>
      </c>
      <c r="F142" s="10">
        <v>0</v>
      </c>
      <c r="G142" s="24">
        <v>238368.53</v>
      </c>
    </row>
    <row r="143" spans="1:7" ht="33" customHeight="1">
      <c r="A143" s="21">
        <v>50950113833</v>
      </c>
      <c r="B143" s="13" t="s">
        <v>9</v>
      </c>
      <c r="C143" s="2">
        <v>46127</v>
      </c>
      <c r="D143" s="15" t="s">
        <v>10</v>
      </c>
      <c r="E143" s="16">
        <v>0</v>
      </c>
      <c r="F143" s="4">
        <v>19150</v>
      </c>
      <c r="G143" s="4">
        <v>257518.53</v>
      </c>
    </row>
    <row r="144" spans="1:7" ht="21.6" customHeight="1">
      <c r="A144" s="22">
        <v>27250113833</v>
      </c>
      <c r="B144" s="6" t="s">
        <v>11</v>
      </c>
      <c r="C144" s="23">
        <v>46127</v>
      </c>
      <c r="D144" s="8" t="s">
        <v>8</v>
      </c>
      <c r="E144" s="9">
        <v>-287.25</v>
      </c>
      <c r="F144" s="10">
        <v>0</v>
      </c>
      <c r="G144" s="24">
        <v>257231.28</v>
      </c>
    </row>
    <row r="145" spans="1:7" ht="33" customHeight="1">
      <c r="A145" s="21">
        <v>677219864857</v>
      </c>
      <c r="B145" s="13" t="s">
        <v>14</v>
      </c>
      <c r="C145" s="2">
        <v>46127</v>
      </c>
      <c r="D145" s="15" t="s">
        <v>10</v>
      </c>
      <c r="E145" s="16">
        <v>0</v>
      </c>
      <c r="F145" s="4">
        <v>23451</v>
      </c>
      <c r="G145" s="4">
        <v>280682.28000000003</v>
      </c>
    </row>
    <row r="146" spans="1:7" ht="21.6" customHeight="1">
      <c r="A146" s="22">
        <v>210019864857</v>
      </c>
      <c r="B146" s="6" t="s">
        <v>15</v>
      </c>
      <c r="C146" s="23">
        <v>46127</v>
      </c>
      <c r="D146" s="8" t="s">
        <v>8</v>
      </c>
      <c r="E146" s="9">
        <v>-351.77</v>
      </c>
      <c r="F146" s="10">
        <v>0</v>
      </c>
      <c r="G146" s="24">
        <v>280330.51</v>
      </c>
    </row>
    <row r="147" spans="1:7" ht="33" customHeight="1">
      <c r="A147" s="21">
        <v>677220165083</v>
      </c>
      <c r="B147" s="13" t="s">
        <v>14</v>
      </c>
      <c r="C147" s="2">
        <v>46127</v>
      </c>
      <c r="D147" s="15" t="s">
        <v>10</v>
      </c>
      <c r="E147" s="16">
        <v>0</v>
      </c>
      <c r="F147" s="4">
        <v>14358</v>
      </c>
      <c r="G147" s="4">
        <v>294688.51</v>
      </c>
    </row>
    <row r="148" spans="1:7" ht="21.6" customHeight="1">
      <c r="A148" s="22">
        <v>210020165083</v>
      </c>
      <c r="B148" s="6" t="s">
        <v>15</v>
      </c>
      <c r="C148" s="23">
        <v>46127</v>
      </c>
      <c r="D148" s="8" t="s">
        <v>8</v>
      </c>
      <c r="E148" s="9">
        <v>-215.37</v>
      </c>
      <c r="F148" s="10">
        <v>0</v>
      </c>
      <c r="G148" s="24">
        <v>294473.14</v>
      </c>
    </row>
    <row r="149" spans="1:7" ht="33" customHeight="1">
      <c r="A149" s="21">
        <v>677220404107</v>
      </c>
      <c r="B149" s="13" t="s">
        <v>19</v>
      </c>
      <c r="C149" s="2">
        <v>46127</v>
      </c>
      <c r="D149" s="15" t="s">
        <v>10</v>
      </c>
      <c r="E149" s="16">
        <v>0</v>
      </c>
      <c r="F149" s="4">
        <v>26321.96</v>
      </c>
      <c r="G149" s="4">
        <v>320795.09999999998</v>
      </c>
    </row>
    <row r="150" spans="1:7" ht="15.75" customHeight="1">
      <c r="A150" s="22">
        <v>210020404107</v>
      </c>
      <c r="B150" s="6" t="s">
        <v>15</v>
      </c>
      <c r="C150" s="23">
        <v>46127</v>
      </c>
      <c r="D150" s="8" t="s">
        <v>8</v>
      </c>
      <c r="E150" s="9">
        <v>-394.83</v>
      </c>
      <c r="F150" s="10">
        <v>0</v>
      </c>
      <c r="G150" s="24">
        <v>320400.27</v>
      </c>
    </row>
    <row r="151" spans="1:7" ht="54.95" customHeight="1"/>
    <row r="152" spans="1:7" ht="33" customHeight="1">
      <c r="A152" s="21">
        <v>50958726923</v>
      </c>
      <c r="B152" s="13" t="s">
        <v>23</v>
      </c>
      <c r="C152" s="2">
        <v>46127</v>
      </c>
      <c r="D152" s="15" t="s">
        <v>10</v>
      </c>
      <c r="E152" s="16">
        <v>0</v>
      </c>
      <c r="F152" s="4">
        <v>28714.799999999999</v>
      </c>
      <c r="G152" s="4">
        <v>349115.07</v>
      </c>
    </row>
    <row r="153" spans="1:7" ht="21.6" customHeight="1">
      <c r="A153" s="22">
        <v>27258726923</v>
      </c>
      <c r="B153" s="6" t="s">
        <v>11</v>
      </c>
      <c r="C153" s="23">
        <v>46127</v>
      </c>
      <c r="D153" s="8" t="s">
        <v>8</v>
      </c>
      <c r="E153" s="9">
        <v>-430.72</v>
      </c>
      <c r="F153" s="10">
        <v>0</v>
      </c>
      <c r="G153" s="24">
        <v>348684.35</v>
      </c>
    </row>
    <row r="154" spans="1:7" ht="33" customHeight="1">
      <c r="A154" s="21">
        <v>50934489092</v>
      </c>
      <c r="B154" s="13" t="s">
        <v>17</v>
      </c>
      <c r="C154" s="2">
        <v>46127</v>
      </c>
      <c r="D154" s="15" t="s">
        <v>10</v>
      </c>
      <c r="E154" s="16">
        <v>0</v>
      </c>
      <c r="F154" s="4">
        <v>23929.06</v>
      </c>
      <c r="G154" s="4">
        <v>372613.41</v>
      </c>
    </row>
    <row r="155" spans="1:7" ht="21.6" customHeight="1">
      <c r="A155" s="22">
        <v>27234489092</v>
      </c>
      <c r="B155" s="6" t="s">
        <v>11</v>
      </c>
      <c r="C155" s="23">
        <v>46127</v>
      </c>
      <c r="D155" s="8" t="s">
        <v>8</v>
      </c>
      <c r="E155" s="9">
        <v>-358.94</v>
      </c>
      <c r="F155" s="10">
        <v>0</v>
      </c>
      <c r="G155" s="24">
        <v>372254.47</v>
      </c>
    </row>
    <row r="156" spans="1:7" ht="33" customHeight="1">
      <c r="A156" s="21">
        <v>50950541128</v>
      </c>
      <c r="B156" s="13" t="s">
        <v>9</v>
      </c>
      <c r="C156" s="2">
        <v>46128</v>
      </c>
      <c r="D156" s="15" t="s">
        <v>10</v>
      </c>
      <c r="E156" s="16">
        <v>0</v>
      </c>
      <c r="F156" s="4">
        <v>47980</v>
      </c>
      <c r="G156" s="4">
        <v>420234.47</v>
      </c>
    </row>
    <row r="157" spans="1:7" ht="21.6" customHeight="1">
      <c r="A157" s="22">
        <v>27250541128</v>
      </c>
      <c r="B157" s="6" t="s">
        <v>11</v>
      </c>
      <c r="C157" s="23">
        <v>46128</v>
      </c>
      <c r="D157" s="8" t="s">
        <v>8</v>
      </c>
      <c r="E157" s="9">
        <v>-719.7</v>
      </c>
      <c r="F157" s="10">
        <v>0</v>
      </c>
      <c r="G157" s="24">
        <v>419514.77</v>
      </c>
    </row>
    <row r="158" spans="1:7" ht="33" customHeight="1">
      <c r="A158" s="21">
        <v>329279549663</v>
      </c>
      <c r="B158" s="13" t="s">
        <v>38</v>
      </c>
      <c r="C158" s="2">
        <v>46128</v>
      </c>
      <c r="D158" s="15" t="s">
        <v>8</v>
      </c>
      <c r="E158" s="18">
        <v>-95000</v>
      </c>
      <c r="F158" s="3">
        <v>0</v>
      </c>
      <c r="G158" s="4">
        <v>324514.77</v>
      </c>
    </row>
    <row r="159" spans="1:7" ht="21.6" customHeight="1">
      <c r="A159" s="22">
        <v>676279549663</v>
      </c>
      <c r="B159" s="6" t="s">
        <v>13</v>
      </c>
      <c r="C159" s="23">
        <v>46128</v>
      </c>
      <c r="D159" s="8" t="s">
        <v>8</v>
      </c>
      <c r="E159" s="9">
        <v>-237.5</v>
      </c>
      <c r="F159" s="10">
        <v>0</v>
      </c>
      <c r="G159" s="24">
        <v>324277.27</v>
      </c>
    </row>
    <row r="160" spans="1:7" ht="33" customHeight="1">
      <c r="A160" s="21">
        <v>50962290154</v>
      </c>
      <c r="B160" s="13" t="s">
        <v>23</v>
      </c>
      <c r="C160" s="2">
        <v>46128</v>
      </c>
      <c r="D160" s="15" t="s">
        <v>10</v>
      </c>
      <c r="E160" s="16">
        <v>0</v>
      </c>
      <c r="F160" s="4">
        <v>28786.799999999999</v>
      </c>
      <c r="G160" s="4">
        <v>353064.07</v>
      </c>
    </row>
    <row r="161" spans="1:7" ht="21.6" customHeight="1">
      <c r="A161" s="22">
        <v>27262290154</v>
      </c>
      <c r="B161" s="6" t="s">
        <v>11</v>
      </c>
      <c r="C161" s="23">
        <v>46128</v>
      </c>
      <c r="D161" s="8" t="s">
        <v>8</v>
      </c>
      <c r="E161" s="9">
        <v>-431.8</v>
      </c>
      <c r="F161" s="10">
        <v>0</v>
      </c>
      <c r="G161" s="24">
        <v>352632.27</v>
      </c>
    </row>
    <row r="162" spans="1:7" ht="33" customHeight="1">
      <c r="A162" s="21">
        <v>50935614857</v>
      </c>
      <c r="B162" s="13" t="s">
        <v>17</v>
      </c>
      <c r="C162" s="2">
        <v>46128</v>
      </c>
      <c r="D162" s="15" t="s">
        <v>10</v>
      </c>
      <c r="E162" s="16">
        <v>0</v>
      </c>
      <c r="F162" s="4">
        <v>28786.65</v>
      </c>
      <c r="G162" s="4">
        <v>381418.92</v>
      </c>
    </row>
    <row r="163" spans="1:7" ht="21.6" customHeight="1">
      <c r="A163" s="22">
        <v>27235614857</v>
      </c>
      <c r="B163" s="6" t="s">
        <v>11</v>
      </c>
      <c r="C163" s="23">
        <v>46128</v>
      </c>
      <c r="D163" s="8" t="s">
        <v>8</v>
      </c>
      <c r="E163" s="9">
        <v>-431.8</v>
      </c>
      <c r="F163" s="10">
        <v>0</v>
      </c>
      <c r="G163" s="24">
        <v>380987.12</v>
      </c>
    </row>
    <row r="164" spans="1:7" ht="33" customHeight="1">
      <c r="A164" s="21">
        <v>677223823527</v>
      </c>
      <c r="B164" s="13" t="s">
        <v>19</v>
      </c>
      <c r="C164" s="2">
        <v>46129</v>
      </c>
      <c r="D164" s="15" t="s">
        <v>10</v>
      </c>
      <c r="E164" s="16">
        <v>0</v>
      </c>
      <c r="F164" s="4">
        <v>33382.92</v>
      </c>
      <c r="G164" s="4">
        <v>414370.04</v>
      </c>
    </row>
    <row r="165" spans="1:7" ht="15.75" customHeight="1">
      <c r="A165" s="22">
        <v>210023823527</v>
      </c>
      <c r="B165" s="6" t="s">
        <v>15</v>
      </c>
      <c r="C165" s="23">
        <v>46129</v>
      </c>
      <c r="D165" s="8" t="s">
        <v>8</v>
      </c>
      <c r="E165" s="9">
        <v>-500.74</v>
      </c>
      <c r="F165" s="10">
        <v>0</v>
      </c>
      <c r="G165" s="24">
        <v>413869.3</v>
      </c>
    </row>
    <row r="166" spans="1:7" ht="54.95" customHeight="1"/>
    <row r="167" spans="1:7" ht="15.75" customHeight="1">
      <c r="A167" s="21">
        <v>50950776515</v>
      </c>
      <c r="B167" s="13" t="s">
        <v>39</v>
      </c>
      <c r="C167" s="2">
        <v>46129</v>
      </c>
      <c r="D167" s="15" t="s">
        <v>10</v>
      </c>
      <c r="E167" s="16">
        <v>0</v>
      </c>
      <c r="F167" s="4">
        <v>19210</v>
      </c>
      <c r="G167" s="4">
        <v>433079.3</v>
      </c>
    </row>
    <row r="168" spans="1:7" ht="17.25" customHeight="1">
      <c r="A168" s="26"/>
      <c r="B168" s="27">
        <v>4243252293</v>
      </c>
      <c r="C168" s="26"/>
      <c r="D168" s="26"/>
      <c r="E168" s="26"/>
      <c r="F168" s="26"/>
      <c r="G168" s="26"/>
    </row>
    <row r="169" spans="1:7" ht="21.6" customHeight="1">
      <c r="A169" s="22">
        <v>27250776515</v>
      </c>
      <c r="B169" s="6" t="s">
        <v>11</v>
      </c>
      <c r="C169" s="23">
        <v>46129</v>
      </c>
      <c r="D169" s="8" t="s">
        <v>8</v>
      </c>
      <c r="E169" s="9">
        <v>-288.14999999999998</v>
      </c>
      <c r="F169" s="10">
        <v>0</v>
      </c>
      <c r="G169" s="24">
        <v>432791.15</v>
      </c>
    </row>
    <row r="170" spans="1:7" ht="21.6" customHeight="1">
      <c r="A170" s="21">
        <v>592362989807</v>
      </c>
      <c r="B170" s="13" t="s">
        <v>40</v>
      </c>
      <c r="C170" s="2">
        <v>46129</v>
      </c>
      <c r="D170" s="28"/>
      <c r="E170" s="18">
        <v>-6823.73</v>
      </c>
      <c r="F170" s="3">
        <v>0</v>
      </c>
      <c r="G170" s="4">
        <v>425967.42</v>
      </c>
    </row>
    <row r="171" spans="1:7" ht="33" customHeight="1">
      <c r="A171" s="22">
        <v>50974378069</v>
      </c>
      <c r="B171" s="6" t="s">
        <v>23</v>
      </c>
      <c r="C171" s="23">
        <v>46129</v>
      </c>
      <c r="D171" s="8" t="s">
        <v>10</v>
      </c>
      <c r="E171" s="9">
        <v>0</v>
      </c>
      <c r="F171" s="24">
        <v>12486.76</v>
      </c>
      <c r="G171" s="24">
        <v>438454.18</v>
      </c>
    </row>
    <row r="172" spans="1:7" ht="21.6" customHeight="1">
      <c r="A172" s="21">
        <v>27274378069</v>
      </c>
      <c r="B172" s="13" t="s">
        <v>11</v>
      </c>
      <c r="C172" s="2">
        <v>46129</v>
      </c>
      <c r="D172" s="28"/>
      <c r="E172" s="16">
        <v>-187.3</v>
      </c>
      <c r="F172" s="3">
        <v>0</v>
      </c>
      <c r="G172" s="4">
        <v>438266.88</v>
      </c>
    </row>
    <row r="173" spans="1:7" ht="32.85" customHeight="1">
      <c r="A173" s="22">
        <v>677224757849</v>
      </c>
      <c r="B173" s="6" t="s">
        <v>14</v>
      </c>
      <c r="C173" s="23">
        <v>46129</v>
      </c>
      <c r="D173" s="8" t="s">
        <v>10</v>
      </c>
      <c r="E173" s="9">
        <v>0</v>
      </c>
      <c r="F173" s="24">
        <v>9596</v>
      </c>
      <c r="G173" s="24">
        <v>447862.88</v>
      </c>
    </row>
    <row r="174" spans="1:7" ht="21.75" customHeight="1">
      <c r="A174" s="21">
        <v>210024757849</v>
      </c>
      <c r="B174" s="13" t="s">
        <v>15</v>
      </c>
      <c r="C174" s="2">
        <v>46129</v>
      </c>
      <c r="D174" s="28"/>
      <c r="E174" s="16">
        <v>-143.94</v>
      </c>
      <c r="F174" s="3">
        <v>0</v>
      </c>
      <c r="G174" s="4">
        <v>447718.94</v>
      </c>
    </row>
    <row r="175" spans="1:7" ht="33" customHeight="1">
      <c r="A175" s="22">
        <v>329279788464</v>
      </c>
      <c r="B175" s="6" t="s">
        <v>41</v>
      </c>
      <c r="C175" s="23">
        <v>46129</v>
      </c>
      <c r="D175" s="8" t="s">
        <v>8</v>
      </c>
      <c r="E175" s="25">
        <v>-100000</v>
      </c>
      <c r="F175" s="10">
        <v>0</v>
      </c>
      <c r="G175" s="24">
        <v>347718.94</v>
      </c>
    </row>
    <row r="176" spans="1:7" ht="21.6" customHeight="1">
      <c r="A176" s="21">
        <v>676279788464</v>
      </c>
      <c r="B176" s="13" t="s">
        <v>13</v>
      </c>
      <c r="C176" s="2">
        <v>46129</v>
      </c>
      <c r="D176" s="28"/>
      <c r="E176" s="16">
        <v>-250</v>
      </c>
      <c r="F176" s="3">
        <v>0</v>
      </c>
      <c r="G176" s="4">
        <v>347468.94</v>
      </c>
    </row>
    <row r="177" spans="1:7" ht="33" customHeight="1">
      <c r="A177" s="22">
        <v>677224872995</v>
      </c>
      <c r="B177" s="6" t="s">
        <v>14</v>
      </c>
      <c r="C177" s="23">
        <v>46129</v>
      </c>
      <c r="D177" s="8" t="s">
        <v>10</v>
      </c>
      <c r="E177" s="9">
        <v>0</v>
      </c>
      <c r="F177" s="24">
        <v>9596.01</v>
      </c>
      <c r="G177" s="24">
        <v>357064.95</v>
      </c>
    </row>
    <row r="178" spans="1:7" ht="21.6" customHeight="1">
      <c r="A178" s="21">
        <v>210024872995</v>
      </c>
      <c r="B178" s="13" t="s">
        <v>15</v>
      </c>
      <c r="C178" s="2">
        <v>46129</v>
      </c>
      <c r="D178" s="28"/>
      <c r="E178" s="16">
        <v>-143.94</v>
      </c>
      <c r="F178" s="3">
        <v>0</v>
      </c>
      <c r="G178" s="4">
        <v>356921.01</v>
      </c>
    </row>
    <row r="179" spans="1:7" ht="32.85" customHeight="1">
      <c r="A179" s="22">
        <v>50950958812</v>
      </c>
      <c r="B179" s="6" t="s">
        <v>9</v>
      </c>
      <c r="C179" s="23">
        <v>46129</v>
      </c>
      <c r="D179" s="8" t="s">
        <v>10</v>
      </c>
      <c r="E179" s="9">
        <v>0</v>
      </c>
      <c r="F179" s="24">
        <v>28800.080000000002</v>
      </c>
      <c r="G179" s="24">
        <v>385721.09</v>
      </c>
    </row>
    <row r="180" spans="1:7" ht="21.6" customHeight="1">
      <c r="A180" s="21">
        <v>27250958812</v>
      </c>
      <c r="B180" s="13" t="s">
        <v>11</v>
      </c>
      <c r="C180" s="2">
        <v>46129</v>
      </c>
      <c r="D180" s="28"/>
      <c r="E180" s="16">
        <v>-432</v>
      </c>
      <c r="F180" s="3">
        <v>0</v>
      </c>
      <c r="G180" s="4">
        <v>385289.09</v>
      </c>
    </row>
    <row r="181" spans="1:7" ht="26.85" customHeight="1">
      <c r="A181" s="22">
        <v>50976313874</v>
      </c>
      <c r="B181" s="6" t="s">
        <v>23</v>
      </c>
      <c r="C181" s="23">
        <v>46129</v>
      </c>
      <c r="D181" s="8" t="s">
        <v>10</v>
      </c>
      <c r="E181" s="9">
        <v>0</v>
      </c>
      <c r="F181" s="24">
        <v>24000</v>
      </c>
      <c r="G181" s="24">
        <v>409289.09</v>
      </c>
    </row>
    <row r="182" spans="1:7" ht="54.95" customHeight="1"/>
    <row r="183" spans="1:7" ht="21.6" customHeight="1">
      <c r="A183" s="21">
        <v>27276313874</v>
      </c>
      <c r="B183" s="13" t="s">
        <v>11</v>
      </c>
      <c r="C183" s="2">
        <v>46129</v>
      </c>
      <c r="D183" s="28"/>
      <c r="E183" s="16">
        <v>-360</v>
      </c>
      <c r="F183" s="3">
        <v>0</v>
      </c>
      <c r="G183" s="4">
        <v>408929.09</v>
      </c>
    </row>
    <row r="184" spans="1:7" ht="15.75" customHeight="1">
      <c r="A184" s="22">
        <v>50936898986</v>
      </c>
      <c r="B184" s="6" t="s">
        <v>42</v>
      </c>
      <c r="C184" s="23">
        <v>46129</v>
      </c>
      <c r="D184" s="8" t="s">
        <v>10</v>
      </c>
      <c r="E184" s="9">
        <v>0</v>
      </c>
      <c r="F184" s="24">
        <v>24012.86</v>
      </c>
      <c r="G184" s="24">
        <v>432941.95</v>
      </c>
    </row>
    <row r="185" spans="1:7" ht="17.100000000000001" customHeight="1">
      <c r="A185" s="29"/>
      <c r="B185" s="30">
        <v>4141500569</v>
      </c>
      <c r="C185" s="29"/>
      <c r="D185" s="29"/>
      <c r="E185" s="29"/>
      <c r="F185" s="29"/>
      <c r="G185" s="29"/>
    </row>
    <row r="186" spans="1:7" ht="21.6" customHeight="1">
      <c r="A186" s="21">
        <v>27236898986</v>
      </c>
      <c r="B186" s="13" t="s">
        <v>11</v>
      </c>
      <c r="C186" s="2">
        <v>46129</v>
      </c>
      <c r="D186" s="28"/>
      <c r="E186" s="16">
        <v>-360.19</v>
      </c>
      <c r="F186" s="3">
        <v>0</v>
      </c>
      <c r="G186" s="4">
        <v>432581.76</v>
      </c>
    </row>
    <row r="187" spans="1:7" ht="33" customHeight="1">
      <c r="A187" s="22">
        <v>329279864601</v>
      </c>
      <c r="B187" s="6" t="s">
        <v>43</v>
      </c>
      <c r="C187" s="23">
        <v>46130</v>
      </c>
      <c r="D187" s="8" t="s">
        <v>8</v>
      </c>
      <c r="E187" s="25">
        <v>-30000</v>
      </c>
      <c r="F187" s="10">
        <v>0</v>
      </c>
      <c r="G187" s="24">
        <v>402581.76000000001</v>
      </c>
    </row>
    <row r="188" spans="1:7" ht="21.6" customHeight="1">
      <c r="A188" s="21">
        <v>676279864601</v>
      </c>
      <c r="B188" s="13" t="s">
        <v>13</v>
      </c>
      <c r="C188" s="2">
        <v>46130</v>
      </c>
      <c r="D188" s="28"/>
      <c r="E188" s="16">
        <v>-75</v>
      </c>
      <c r="F188" s="3">
        <v>0</v>
      </c>
      <c r="G188" s="4">
        <v>402506.76</v>
      </c>
    </row>
    <row r="189" spans="1:7" ht="32.85" customHeight="1">
      <c r="A189" s="22">
        <v>50938079969</v>
      </c>
      <c r="B189" s="6" t="s">
        <v>17</v>
      </c>
      <c r="C189" s="23">
        <v>46130</v>
      </c>
      <c r="D189" s="8" t="s">
        <v>10</v>
      </c>
      <c r="E189" s="9">
        <v>0</v>
      </c>
      <c r="F189" s="24">
        <v>33685.24</v>
      </c>
      <c r="G189" s="24">
        <v>436192</v>
      </c>
    </row>
    <row r="190" spans="1:7" ht="21.75" customHeight="1">
      <c r="A190" s="21">
        <v>27238079969</v>
      </c>
      <c r="B190" s="13" t="s">
        <v>11</v>
      </c>
      <c r="C190" s="2">
        <v>46130</v>
      </c>
      <c r="D190" s="28"/>
      <c r="E190" s="16">
        <v>-505.28</v>
      </c>
      <c r="F190" s="3">
        <v>0</v>
      </c>
      <c r="G190" s="4">
        <v>435686.72</v>
      </c>
    </row>
    <row r="191" spans="1:7" ht="33" customHeight="1">
      <c r="A191" s="22">
        <v>50980197412</v>
      </c>
      <c r="B191" s="6" t="s">
        <v>23</v>
      </c>
      <c r="C191" s="23">
        <v>46130</v>
      </c>
      <c r="D191" s="8" t="s">
        <v>10</v>
      </c>
      <c r="E191" s="9">
        <v>0</v>
      </c>
      <c r="F191" s="24">
        <v>16843</v>
      </c>
      <c r="G191" s="24">
        <v>452529.72</v>
      </c>
    </row>
    <row r="192" spans="1:7" ht="21.6" customHeight="1">
      <c r="A192" s="21">
        <v>27280197412</v>
      </c>
      <c r="B192" s="13" t="s">
        <v>11</v>
      </c>
      <c r="C192" s="2">
        <v>46130</v>
      </c>
      <c r="D192" s="28"/>
      <c r="E192" s="16">
        <v>-252.64</v>
      </c>
      <c r="F192" s="3">
        <v>0</v>
      </c>
      <c r="G192" s="4">
        <v>452277.08</v>
      </c>
    </row>
    <row r="193" spans="1:7" ht="33" customHeight="1">
      <c r="A193" s="22">
        <v>329279906758</v>
      </c>
      <c r="B193" s="6" t="s">
        <v>44</v>
      </c>
      <c r="C193" s="23">
        <v>46131</v>
      </c>
      <c r="D193" s="8" t="s">
        <v>8</v>
      </c>
      <c r="E193" s="25">
        <v>-300000</v>
      </c>
      <c r="F193" s="10">
        <v>0</v>
      </c>
      <c r="G193" s="24">
        <v>152277.07999999999</v>
      </c>
    </row>
    <row r="194" spans="1:7" ht="21.6" customHeight="1">
      <c r="A194" s="21">
        <v>676279906758</v>
      </c>
      <c r="B194" s="13" t="s">
        <v>13</v>
      </c>
      <c r="C194" s="2">
        <v>46131</v>
      </c>
      <c r="D194" s="28"/>
      <c r="E194" s="16">
        <v>-750</v>
      </c>
      <c r="F194" s="3">
        <v>0</v>
      </c>
      <c r="G194" s="4">
        <v>151527.07999999999</v>
      </c>
    </row>
    <row r="195" spans="1:7" ht="32.85" customHeight="1">
      <c r="A195" s="22">
        <v>50938869775</v>
      </c>
      <c r="B195" s="6" t="s">
        <v>17</v>
      </c>
      <c r="C195" s="23">
        <v>46131</v>
      </c>
      <c r="D195" s="8" t="s">
        <v>10</v>
      </c>
      <c r="E195" s="9">
        <v>0</v>
      </c>
      <c r="F195" s="24">
        <v>33685.24</v>
      </c>
      <c r="G195" s="24">
        <v>185212.32</v>
      </c>
    </row>
    <row r="196" spans="1:7" ht="21.6" customHeight="1">
      <c r="A196" s="21">
        <v>27238869775</v>
      </c>
      <c r="B196" s="13" t="s">
        <v>11</v>
      </c>
      <c r="C196" s="2">
        <v>46131</v>
      </c>
      <c r="D196" s="28"/>
      <c r="E196" s="16">
        <v>-505.28</v>
      </c>
      <c r="F196" s="3">
        <v>0</v>
      </c>
      <c r="G196" s="4">
        <v>184707.04</v>
      </c>
    </row>
    <row r="197" spans="1:7" ht="26.85" customHeight="1">
      <c r="A197" s="22">
        <v>677231399144</v>
      </c>
      <c r="B197" s="6" t="s">
        <v>14</v>
      </c>
      <c r="C197" s="23">
        <v>46132</v>
      </c>
      <c r="D197" s="8" t="s">
        <v>10</v>
      </c>
      <c r="E197" s="9">
        <v>0</v>
      </c>
      <c r="F197" s="24">
        <v>38421</v>
      </c>
      <c r="G197" s="24">
        <v>223128.04</v>
      </c>
    </row>
    <row r="198" spans="1:7" ht="44.1" customHeight="1"/>
    <row r="199" spans="1:7" ht="21.6" customHeight="1">
      <c r="A199" s="21">
        <v>210031399144</v>
      </c>
      <c r="B199" s="13" t="s">
        <v>15</v>
      </c>
      <c r="C199" s="2">
        <v>46132</v>
      </c>
      <c r="D199" s="28"/>
      <c r="E199" s="16">
        <v>-576.30999999999995</v>
      </c>
      <c r="F199" s="3">
        <v>0</v>
      </c>
      <c r="G199" s="4">
        <v>222551.73</v>
      </c>
    </row>
    <row r="200" spans="1:7" ht="32.85" customHeight="1">
      <c r="A200" s="22">
        <v>50951797205</v>
      </c>
      <c r="B200" s="6" t="s">
        <v>9</v>
      </c>
      <c r="C200" s="23">
        <v>46132</v>
      </c>
      <c r="D200" s="8" t="s">
        <v>10</v>
      </c>
      <c r="E200" s="9">
        <v>0</v>
      </c>
      <c r="F200" s="24">
        <v>15000</v>
      </c>
      <c r="G200" s="24">
        <v>237551.73</v>
      </c>
    </row>
    <row r="201" spans="1:7" ht="21.6" customHeight="1">
      <c r="A201" s="21">
        <v>27251797205</v>
      </c>
      <c r="B201" s="13" t="s">
        <v>11</v>
      </c>
      <c r="C201" s="2">
        <v>46132</v>
      </c>
      <c r="D201" s="28"/>
      <c r="E201" s="16">
        <v>-225</v>
      </c>
      <c r="F201" s="3">
        <v>0</v>
      </c>
      <c r="G201" s="4">
        <v>237326.73</v>
      </c>
    </row>
    <row r="202" spans="1:7" ht="33" customHeight="1">
      <c r="A202" s="22">
        <v>677231953803</v>
      </c>
      <c r="B202" s="6" t="s">
        <v>14</v>
      </c>
      <c r="C202" s="23">
        <v>46132</v>
      </c>
      <c r="D202" s="8" t="s">
        <v>10</v>
      </c>
      <c r="E202" s="9">
        <v>0</v>
      </c>
      <c r="F202" s="24">
        <v>33686</v>
      </c>
      <c r="G202" s="24">
        <v>271012.73</v>
      </c>
    </row>
    <row r="203" spans="1:7" ht="21.6" customHeight="1">
      <c r="A203" s="21">
        <v>210031953803</v>
      </c>
      <c r="B203" s="13" t="s">
        <v>15</v>
      </c>
      <c r="C203" s="2">
        <v>46132</v>
      </c>
      <c r="D203" s="28"/>
      <c r="E203" s="16">
        <v>-505.29</v>
      </c>
      <c r="F203" s="3">
        <v>0</v>
      </c>
      <c r="G203" s="4">
        <v>270507.44</v>
      </c>
    </row>
    <row r="204" spans="1:7" ht="32.85" customHeight="1">
      <c r="A204" s="22">
        <v>50905474819</v>
      </c>
      <c r="B204" s="6" t="s">
        <v>23</v>
      </c>
      <c r="C204" s="23">
        <v>46132</v>
      </c>
      <c r="D204" s="8" t="s">
        <v>10</v>
      </c>
      <c r="E204" s="9">
        <v>0</v>
      </c>
      <c r="F204" s="24">
        <v>81807.399999999994</v>
      </c>
      <c r="G204" s="24">
        <v>352314.84</v>
      </c>
    </row>
    <row r="205" spans="1:7" ht="21.75" customHeight="1">
      <c r="A205" s="21">
        <v>27205474819</v>
      </c>
      <c r="B205" s="13" t="s">
        <v>11</v>
      </c>
      <c r="C205" s="2">
        <v>46132</v>
      </c>
      <c r="D205" s="28"/>
      <c r="E205" s="18">
        <v>-1227.1099999999999</v>
      </c>
      <c r="F205" s="3">
        <v>0</v>
      </c>
      <c r="G205" s="4">
        <v>351087.73</v>
      </c>
    </row>
    <row r="206" spans="1:7" ht="33" customHeight="1">
      <c r="A206" s="22">
        <v>677232341595</v>
      </c>
      <c r="B206" s="6" t="s">
        <v>19</v>
      </c>
      <c r="C206" s="23">
        <v>46132</v>
      </c>
      <c r="D206" s="8" t="s">
        <v>10</v>
      </c>
      <c r="E206" s="9">
        <v>0</v>
      </c>
      <c r="F206" s="24">
        <v>48121.77</v>
      </c>
      <c r="G206" s="24">
        <v>399209.5</v>
      </c>
    </row>
    <row r="207" spans="1:7" ht="21.6" customHeight="1">
      <c r="A207" s="21">
        <v>210032341595</v>
      </c>
      <c r="B207" s="13" t="s">
        <v>15</v>
      </c>
      <c r="C207" s="2">
        <v>46132</v>
      </c>
      <c r="D207" s="28"/>
      <c r="E207" s="16">
        <v>-721.83</v>
      </c>
      <c r="F207" s="3">
        <v>0</v>
      </c>
      <c r="G207" s="4">
        <v>398487.67</v>
      </c>
    </row>
    <row r="208" spans="1:7" ht="33" customHeight="1">
      <c r="A208" s="22">
        <v>50939839645</v>
      </c>
      <c r="B208" s="6" t="s">
        <v>17</v>
      </c>
      <c r="C208" s="23">
        <v>46132</v>
      </c>
      <c r="D208" s="8" t="s">
        <v>10</v>
      </c>
      <c r="E208" s="9">
        <v>0</v>
      </c>
      <c r="F208" s="24">
        <v>33685.24</v>
      </c>
      <c r="G208" s="24">
        <v>432172.91</v>
      </c>
    </row>
    <row r="209" spans="1:7" ht="21.6" customHeight="1">
      <c r="A209" s="21">
        <v>27239839645</v>
      </c>
      <c r="B209" s="13" t="s">
        <v>11</v>
      </c>
      <c r="C209" s="2">
        <v>46132</v>
      </c>
      <c r="D209" s="28"/>
      <c r="E209" s="16">
        <v>-505.28</v>
      </c>
      <c r="F209" s="3">
        <v>0</v>
      </c>
      <c r="G209" s="4">
        <v>431667.63</v>
      </c>
    </row>
    <row r="210" spans="1:7" ht="32.85" customHeight="1">
      <c r="A210" s="22">
        <v>677232634558</v>
      </c>
      <c r="B210" s="6" t="s">
        <v>14</v>
      </c>
      <c r="C210" s="23">
        <v>46133</v>
      </c>
      <c r="D210" s="8" t="s">
        <v>10</v>
      </c>
      <c r="E210" s="9">
        <v>0</v>
      </c>
      <c r="F210" s="24">
        <v>24085</v>
      </c>
      <c r="G210" s="24">
        <v>455752.63</v>
      </c>
    </row>
    <row r="211" spans="1:7" ht="21.6" customHeight="1">
      <c r="A211" s="21">
        <v>210032634558</v>
      </c>
      <c r="B211" s="13" t="s">
        <v>15</v>
      </c>
      <c r="C211" s="2">
        <v>46133</v>
      </c>
      <c r="D211" s="28"/>
      <c r="E211" s="16">
        <v>-361.28</v>
      </c>
      <c r="F211" s="3">
        <v>0</v>
      </c>
      <c r="G211" s="4">
        <v>455391.35</v>
      </c>
    </row>
    <row r="212" spans="1:7" ht="15.75" customHeight="1">
      <c r="A212" s="22">
        <v>329280046671</v>
      </c>
      <c r="B212" s="6" t="s">
        <v>45</v>
      </c>
      <c r="C212" s="23">
        <v>46133</v>
      </c>
      <c r="D212" s="8" t="s">
        <v>8</v>
      </c>
      <c r="E212" s="25">
        <v>-90000</v>
      </c>
      <c r="F212" s="10">
        <v>0</v>
      </c>
      <c r="G212" s="24">
        <v>365391.35</v>
      </c>
    </row>
    <row r="213" spans="1:7" ht="14.25" customHeight="1">
      <c r="A213" s="29"/>
      <c r="B213" s="6" t="s">
        <v>46</v>
      </c>
      <c r="C213" s="29"/>
      <c r="D213" s="29"/>
      <c r="E213" s="29"/>
      <c r="F213" s="29"/>
      <c r="G213" s="29"/>
    </row>
    <row r="214" spans="1:7" ht="44.1" customHeight="1"/>
    <row r="215" spans="1:7" ht="21.6" customHeight="1">
      <c r="A215" s="21">
        <v>676280046671</v>
      </c>
      <c r="B215" s="13" t="s">
        <v>13</v>
      </c>
      <c r="C215" s="2">
        <v>46133</v>
      </c>
      <c r="D215" s="28"/>
      <c r="E215" s="16">
        <v>-225</v>
      </c>
      <c r="F215" s="3">
        <v>0</v>
      </c>
      <c r="G215" s="4">
        <v>365166.35</v>
      </c>
    </row>
    <row r="216" spans="1:7" ht="32.85" customHeight="1">
      <c r="A216" s="22">
        <v>50952095211</v>
      </c>
      <c r="B216" s="6" t="s">
        <v>9</v>
      </c>
      <c r="C216" s="23">
        <v>46133</v>
      </c>
      <c r="D216" s="8" t="s">
        <v>10</v>
      </c>
      <c r="E216" s="9">
        <v>0</v>
      </c>
      <c r="F216" s="24">
        <v>43350</v>
      </c>
      <c r="G216" s="24">
        <v>408516.35</v>
      </c>
    </row>
    <row r="217" spans="1:7" ht="21.6" customHeight="1">
      <c r="A217" s="21">
        <v>27252095211</v>
      </c>
      <c r="B217" s="13" t="s">
        <v>11</v>
      </c>
      <c r="C217" s="2">
        <v>46133</v>
      </c>
      <c r="D217" s="28"/>
      <c r="E217" s="16">
        <v>-650.25</v>
      </c>
      <c r="F217" s="3">
        <v>0</v>
      </c>
      <c r="G217" s="4">
        <v>407866.1</v>
      </c>
    </row>
    <row r="218" spans="1:7" ht="33" customHeight="1">
      <c r="A218" s="22">
        <v>329280187413</v>
      </c>
      <c r="B218" s="6" t="s">
        <v>47</v>
      </c>
      <c r="C218" s="23">
        <v>46133</v>
      </c>
      <c r="D218" s="8" t="s">
        <v>8</v>
      </c>
      <c r="E218" s="25">
        <v>-25000</v>
      </c>
      <c r="F218" s="10">
        <v>0</v>
      </c>
      <c r="G218" s="24">
        <v>382866.1</v>
      </c>
    </row>
    <row r="219" spans="1:7" ht="21.6" customHeight="1">
      <c r="A219" s="21">
        <v>676280187413</v>
      </c>
      <c r="B219" s="13" t="s">
        <v>13</v>
      </c>
      <c r="C219" s="2">
        <v>46133</v>
      </c>
      <c r="D219" s="28"/>
      <c r="E219" s="16">
        <v>-62.5</v>
      </c>
      <c r="F219" s="3">
        <v>0</v>
      </c>
      <c r="G219" s="4">
        <v>382803.6</v>
      </c>
    </row>
    <row r="220" spans="1:7" ht="32.85" customHeight="1">
      <c r="A220" s="22">
        <v>329280325234</v>
      </c>
      <c r="B220" s="6" t="s">
        <v>48</v>
      </c>
      <c r="C220" s="23">
        <v>46134</v>
      </c>
      <c r="D220" s="8" t="s">
        <v>8</v>
      </c>
      <c r="E220" s="25">
        <v>-60000</v>
      </c>
      <c r="F220" s="10">
        <v>0</v>
      </c>
      <c r="G220" s="24">
        <v>322803.59999999998</v>
      </c>
    </row>
    <row r="221" spans="1:7" ht="21.75" customHeight="1">
      <c r="A221" s="21">
        <v>676280325234</v>
      </c>
      <c r="B221" s="13" t="s">
        <v>13</v>
      </c>
      <c r="C221" s="2">
        <v>46134</v>
      </c>
      <c r="D221" s="28"/>
      <c r="E221" s="16">
        <v>-150</v>
      </c>
      <c r="F221" s="3">
        <v>0</v>
      </c>
      <c r="G221" s="4">
        <v>322653.59999999998</v>
      </c>
    </row>
    <row r="222" spans="1:7" ht="33" customHeight="1">
      <c r="A222" s="22">
        <v>50952438004</v>
      </c>
      <c r="B222" s="6" t="s">
        <v>9</v>
      </c>
      <c r="C222" s="23">
        <v>46134</v>
      </c>
      <c r="D222" s="8" t="s">
        <v>10</v>
      </c>
      <c r="E222" s="9">
        <v>0</v>
      </c>
      <c r="F222" s="24">
        <v>8000</v>
      </c>
      <c r="G222" s="24">
        <v>330653.59999999998</v>
      </c>
    </row>
    <row r="223" spans="1:7" ht="21.6" customHeight="1">
      <c r="A223" s="21">
        <v>27252438004</v>
      </c>
      <c r="B223" s="13" t="s">
        <v>11</v>
      </c>
      <c r="C223" s="2">
        <v>46134</v>
      </c>
      <c r="D223" s="28"/>
      <c r="E223" s="16">
        <v>-120</v>
      </c>
      <c r="F223" s="3">
        <v>0</v>
      </c>
      <c r="G223" s="4">
        <v>330533.59999999998</v>
      </c>
    </row>
    <row r="224" spans="1:7" ht="33" customHeight="1">
      <c r="A224" s="22">
        <v>50952438205</v>
      </c>
      <c r="B224" s="6" t="s">
        <v>9</v>
      </c>
      <c r="C224" s="23">
        <v>46134</v>
      </c>
      <c r="D224" s="8" t="s">
        <v>10</v>
      </c>
      <c r="E224" s="9">
        <v>0</v>
      </c>
      <c r="F224" s="24">
        <v>38650</v>
      </c>
      <c r="G224" s="24">
        <v>369183.6</v>
      </c>
    </row>
    <row r="225" spans="1:7" ht="21.6" customHeight="1">
      <c r="A225" s="21">
        <v>27252438205</v>
      </c>
      <c r="B225" s="13" t="s">
        <v>11</v>
      </c>
      <c r="C225" s="2">
        <v>46134</v>
      </c>
      <c r="D225" s="28"/>
      <c r="E225" s="16">
        <v>-579.75</v>
      </c>
      <c r="F225" s="3">
        <v>0</v>
      </c>
      <c r="G225" s="4">
        <v>368603.85</v>
      </c>
    </row>
    <row r="226" spans="1:7" ht="32.85" customHeight="1">
      <c r="A226" s="22">
        <v>329280341780</v>
      </c>
      <c r="B226" s="6" t="s">
        <v>49</v>
      </c>
      <c r="C226" s="23">
        <v>46134</v>
      </c>
      <c r="D226" s="8" t="s">
        <v>8</v>
      </c>
      <c r="E226" s="25">
        <v>-20000</v>
      </c>
      <c r="F226" s="10">
        <v>0</v>
      </c>
      <c r="G226" s="24">
        <v>348603.85</v>
      </c>
    </row>
    <row r="227" spans="1:7" ht="21.6" customHeight="1">
      <c r="A227" s="21">
        <v>676280341780</v>
      </c>
      <c r="B227" s="13" t="s">
        <v>13</v>
      </c>
      <c r="C227" s="2">
        <v>46134</v>
      </c>
      <c r="D227" s="28"/>
      <c r="E227" s="16">
        <v>-50</v>
      </c>
      <c r="F227" s="3">
        <v>0</v>
      </c>
      <c r="G227" s="4">
        <v>348553.85</v>
      </c>
    </row>
    <row r="228" spans="1:7" ht="26.85" customHeight="1">
      <c r="A228" s="22">
        <v>50921402393</v>
      </c>
      <c r="B228" s="6" t="s">
        <v>23</v>
      </c>
      <c r="C228" s="23">
        <v>46134</v>
      </c>
      <c r="D228" s="8" t="s">
        <v>10</v>
      </c>
      <c r="E228" s="9">
        <v>0</v>
      </c>
      <c r="F228" s="24">
        <v>43448.4</v>
      </c>
      <c r="G228" s="24">
        <v>392002.25</v>
      </c>
    </row>
    <row r="229" spans="1:7" ht="44.1" customHeight="1"/>
    <row r="230" spans="1:7" ht="21.6" customHeight="1">
      <c r="A230" s="21">
        <v>27221402393</v>
      </c>
      <c r="B230" s="13" t="s">
        <v>11</v>
      </c>
      <c r="C230" s="2">
        <v>46134</v>
      </c>
      <c r="D230" s="28"/>
      <c r="E230" s="16">
        <v>-651.73</v>
      </c>
      <c r="F230" s="3">
        <v>0</v>
      </c>
      <c r="G230" s="4">
        <v>391350.52</v>
      </c>
    </row>
    <row r="231" spans="1:7" ht="32.85" customHeight="1">
      <c r="A231" s="22">
        <v>50941661760</v>
      </c>
      <c r="B231" s="6" t="s">
        <v>17</v>
      </c>
      <c r="C231" s="23">
        <v>46134</v>
      </c>
      <c r="D231" s="8" t="s">
        <v>10</v>
      </c>
      <c r="E231" s="9">
        <v>0</v>
      </c>
      <c r="F231" s="24">
        <v>33793.1</v>
      </c>
      <c r="G231" s="24">
        <v>425143.62</v>
      </c>
    </row>
    <row r="232" spans="1:7" ht="21.6" customHeight="1">
      <c r="A232" s="21">
        <v>27241661760</v>
      </c>
      <c r="B232" s="13" t="s">
        <v>11</v>
      </c>
      <c r="C232" s="2">
        <v>46134</v>
      </c>
      <c r="D232" s="28"/>
      <c r="E232" s="16">
        <v>-506.9</v>
      </c>
      <c r="F232" s="3">
        <v>0</v>
      </c>
      <c r="G232" s="4">
        <v>424636.72</v>
      </c>
    </row>
    <row r="233" spans="1:7" ht="33" customHeight="1">
      <c r="A233" s="22">
        <v>677237555030</v>
      </c>
      <c r="B233" s="6" t="s">
        <v>19</v>
      </c>
      <c r="C233" s="23">
        <v>46135</v>
      </c>
      <c r="D233" s="8" t="s">
        <v>10</v>
      </c>
      <c r="E233" s="9">
        <v>0</v>
      </c>
      <c r="F233" s="24">
        <v>48333.79</v>
      </c>
      <c r="G233" s="24">
        <v>472970.51</v>
      </c>
    </row>
    <row r="234" spans="1:7" ht="21.6" customHeight="1">
      <c r="A234" s="21">
        <v>210037555030</v>
      </c>
      <c r="B234" s="13" t="s">
        <v>15</v>
      </c>
      <c r="C234" s="2">
        <v>46135</v>
      </c>
      <c r="D234" s="28"/>
      <c r="E234" s="16">
        <v>-725.01</v>
      </c>
      <c r="F234" s="3">
        <v>0</v>
      </c>
      <c r="G234" s="4">
        <v>472245.5</v>
      </c>
    </row>
    <row r="235" spans="1:7" ht="32.85" customHeight="1">
      <c r="A235" s="22">
        <v>677238168071</v>
      </c>
      <c r="B235" s="6" t="s">
        <v>14</v>
      </c>
      <c r="C235" s="23">
        <v>46135</v>
      </c>
      <c r="D235" s="8" t="s">
        <v>10</v>
      </c>
      <c r="E235" s="9">
        <v>0</v>
      </c>
      <c r="F235" s="24">
        <v>16920</v>
      </c>
      <c r="G235" s="24">
        <v>489165.5</v>
      </c>
    </row>
    <row r="236" spans="1:7" ht="21.75" customHeight="1">
      <c r="A236" s="21">
        <v>210038168071</v>
      </c>
      <c r="B236" s="13" t="s">
        <v>15</v>
      </c>
      <c r="C236" s="2">
        <v>46135</v>
      </c>
      <c r="D236" s="28"/>
      <c r="E236" s="16">
        <v>-253.8</v>
      </c>
      <c r="F236" s="3">
        <v>0</v>
      </c>
      <c r="G236" s="4">
        <v>488911.7</v>
      </c>
    </row>
    <row r="237" spans="1:7" ht="33" customHeight="1">
      <c r="A237" s="22">
        <v>50942555340</v>
      </c>
      <c r="B237" s="6" t="s">
        <v>17</v>
      </c>
      <c r="C237" s="23">
        <v>46135</v>
      </c>
      <c r="D237" s="8" t="s">
        <v>10</v>
      </c>
      <c r="E237" s="9">
        <v>0</v>
      </c>
      <c r="F237" s="24">
        <v>29000.27</v>
      </c>
      <c r="G237" s="24">
        <v>517911.97</v>
      </c>
    </row>
    <row r="238" spans="1:7" ht="21.6" customHeight="1">
      <c r="A238" s="21">
        <v>27242555340</v>
      </c>
      <c r="B238" s="13" t="s">
        <v>11</v>
      </c>
      <c r="C238" s="2">
        <v>46135</v>
      </c>
      <c r="D238" s="28"/>
      <c r="E238" s="16">
        <v>-435</v>
      </c>
      <c r="F238" s="3">
        <v>0</v>
      </c>
      <c r="G238" s="4">
        <v>517476.97</v>
      </c>
    </row>
    <row r="239" spans="1:7" ht="33" customHeight="1">
      <c r="A239" s="22">
        <v>50952846635</v>
      </c>
      <c r="B239" s="6" t="s">
        <v>9</v>
      </c>
      <c r="C239" s="23">
        <v>46136</v>
      </c>
      <c r="D239" s="8" t="s">
        <v>10</v>
      </c>
      <c r="E239" s="9">
        <v>0</v>
      </c>
      <c r="F239" s="24">
        <v>24190</v>
      </c>
      <c r="G239" s="24">
        <v>541666.97</v>
      </c>
    </row>
    <row r="240" spans="1:7" ht="21.6" customHeight="1">
      <c r="A240" s="21">
        <v>27252846635</v>
      </c>
      <c r="B240" s="13" t="s">
        <v>11</v>
      </c>
      <c r="C240" s="2">
        <v>46136</v>
      </c>
      <c r="D240" s="28"/>
      <c r="E240" s="16">
        <v>-362.85</v>
      </c>
      <c r="F240" s="3">
        <v>0</v>
      </c>
      <c r="G240" s="4">
        <v>541304.12</v>
      </c>
    </row>
    <row r="241" spans="1:7" ht="32.85" customHeight="1">
      <c r="A241" s="22">
        <v>329283436432</v>
      </c>
      <c r="B241" s="6" t="s">
        <v>50</v>
      </c>
      <c r="C241" s="23">
        <v>46136</v>
      </c>
      <c r="D241" s="8" t="s">
        <v>8</v>
      </c>
      <c r="E241" s="25">
        <v>-20000</v>
      </c>
      <c r="F241" s="10">
        <v>0</v>
      </c>
      <c r="G241" s="24">
        <v>521304.12</v>
      </c>
    </row>
    <row r="242" spans="1:7" ht="21.6" customHeight="1">
      <c r="A242" s="21">
        <v>676283436432</v>
      </c>
      <c r="B242" s="13" t="s">
        <v>13</v>
      </c>
      <c r="C242" s="2">
        <v>46136</v>
      </c>
      <c r="D242" s="28"/>
      <c r="E242" s="16">
        <v>-50</v>
      </c>
      <c r="F242" s="3">
        <v>0</v>
      </c>
      <c r="G242" s="4">
        <v>521254.12</v>
      </c>
    </row>
    <row r="243" spans="1:7" ht="27" customHeight="1">
      <c r="A243" s="22">
        <v>329283445939</v>
      </c>
      <c r="B243" s="6" t="s">
        <v>51</v>
      </c>
      <c r="C243" s="23">
        <v>46136</v>
      </c>
      <c r="D243" s="8" t="s">
        <v>8</v>
      </c>
      <c r="E243" s="25">
        <v>-19000</v>
      </c>
      <c r="F243" s="10">
        <v>0</v>
      </c>
      <c r="G243" s="24">
        <v>502254.12</v>
      </c>
    </row>
    <row r="244" spans="1:7" ht="44.1" customHeight="1"/>
    <row r="245" spans="1:7" ht="21.6" customHeight="1">
      <c r="A245" s="21">
        <v>676283445939</v>
      </c>
      <c r="B245" s="13" t="s">
        <v>13</v>
      </c>
      <c r="C245" s="2">
        <v>46136</v>
      </c>
      <c r="D245" s="28"/>
      <c r="E245" s="16">
        <v>-47.5</v>
      </c>
      <c r="F245" s="3">
        <v>0</v>
      </c>
      <c r="G245" s="4">
        <v>502206.62</v>
      </c>
    </row>
    <row r="246" spans="1:7" ht="32.85" customHeight="1">
      <c r="A246" s="22">
        <v>677239512662</v>
      </c>
      <c r="B246" s="6" t="s">
        <v>19</v>
      </c>
      <c r="C246" s="23">
        <v>46136</v>
      </c>
      <c r="D246" s="8" t="s">
        <v>10</v>
      </c>
      <c r="E246" s="9">
        <v>0</v>
      </c>
      <c r="F246" s="24">
        <v>35806.339999999997</v>
      </c>
      <c r="G246" s="24">
        <v>538012.96</v>
      </c>
    </row>
    <row r="247" spans="1:7" ht="21.6" customHeight="1">
      <c r="A247" s="21">
        <v>210039512662</v>
      </c>
      <c r="B247" s="13" t="s">
        <v>15</v>
      </c>
      <c r="C247" s="2">
        <v>46136</v>
      </c>
      <c r="D247" s="28"/>
      <c r="E247" s="16">
        <v>-537.1</v>
      </c>
      <c r="F247" s="3">
        <v>0</v>
      </c>
      <c r="G247" s="4">
        <v>537475.86</v>
      </c>
    </row>
    <row r="248" spans="1:7" ht="33" customHeight="1">
      <c r="A248" s="22">
        <v>677239725744</v>
      </c>
      <c r="B248" s="6" t="s">
        <v>14</v>
      </c>
      <c r="C248" s="23">
        <v>46136</v>
      </c>
      <c r="D248" s="8" t="s">
        <v>10</v>
      </c>
      <c r="E248" s="9">
        <v>0</v>
      </c>
      <c r="F248" s="24">
        <v>19355</v>
      </c>
      <c r="G248" s="24">
        <v>556830.86</v>
      </c>
    </row>
    <row r="249" spans="1:7" ht="21.6" customHeight="1">
      <c r="A249" s="21">
        <v>210039725744</v>
      </c>
      <c r="B249" s="13" t="s">
        <v>15</v>
      </c>
      <c r="C249" s="2">
        <v>46136</v>
      </c>
      <c r="D249" s="28"/>
      <c r="E249" s="16">
        <v>-290.33</v>
      </c>
      <c r="F249" s="3">
        <v>0</v>
      </c>
      <c r="G249" s="4">
        <v>556540.53</v>
      </c>
    </row>
    <row r="250" spans="1:7" ht="32.85" customHeight="1">
      <c r="A250" s="22">
        <v>50953040518</v>
      </c>
      <c r="B250" s="6" t="s">
        <v>9</v>
      </c>
      <c r="C250" s="23">
        <v>46136</v>
      </c>
      <c r="D250" s="8" t="s">
        <v>10</v>
      </c>
      <c r="E250" s="9">
        <v>0</v>
      </c>
      <c r="F250" s="24">
        <v>33870</v>
      </c>
      <c r="G250" s="24">
        <v>590410.53</v>
      </c>
    </row>
    <row r="251" spans="1:7" ht="21.75" customHeight="1">
      <c r="A251" s="21">
        <v>27253040518</v>
      </c>
      <c r="B251" s="13" t="s">
        <v>11</v>
      </c>
      <c r="C251" s="2">
        <v>46136</v>
      </c>
      <c r="D251" s="28"/>
      <c r="E251" s="16">
        <v>-508.05</v>
      </c>
      <c r="F251" s="3">
        <v>0</v>
      </c>
      <c r="G251" s="4">
        <v>589902.48</v>
      </c>
    </row>
    <row r="252" spans="1:7" ht="33" customHeight="1">
      <c r="A252" s="22">
        <v>50948397333</v>
      </c>
      <c r="B252" s="6" t="s">
        <v>23</v>
      </c>
      <c r="C252" s="23">
        <v>46136</v>
      </c>
      <c r="D252" s="8" t="s">
        <v>10</v>
      </c>
      <c r="E252" s="9">
        <v>0</v>
      </c>
      <c r="F252" s="24">
        <v>29032.2</v>
      </c>
      <c r="G252" s="24">
        <v>618934.68000000005</v>
      </c>
    </row>
    <row r="253" spans="1:7" ht="21.6" customHeight="1">
      <c r="A253" s="21">
        <v>27248397333</v>
      </c>
      <c r="B253" s="13" t="s">
        <v>11</v>
      </c>
      <c r="C253" s="2">
        <v>46136</v>
      </c>
      <c r="D253" s="28"/>
      <c r="E253" s="16">
        <v>-435.48</v>
      </c>
      <c r="F253" s="3">
        <v>0</v>
      </c>
      <c r="G253" s="4">
        <v>618499.19999999995</v>
      </c>
    </row>
    <row r="254" spans="1:7" ht="33" customHeight="1">
      <c r="A254" s="22">
        <v>677241473918</v>
      </c>
      <c r="B254" s="6" t="s">
        <v>14</v>
      </c>
      <c r="C254" s="23">
        <v>46137</v>
      </c>
      <c r="D254" s="8" t="s">
        <v>10</v>
      </c>
      <c r="E254" s="9">
        <v>0</v>
      </c>
      <c r="F254" s="24">
        <v>7258</v>
      </c>
      <c r="G254" s="24">
        <v>625757.19999999995</v>
      </c>
    </row>
    <row r="255" spans="1:7" ht="21.6" customHeight="1">
      <c r="A255" s="21">
        <v>210041473918</v>
      </c>
      <c r="B255" s="13" t="s">
        <v>15</v>
      </c>
      <c r="C255" s="2">
        <v>46137</v>
      </c>
      <c r="D255" s="28"/>
      <c r="E255" s="16">
        <v>-108.87</v>
      </c>
      <c r="F255" s="3">
        <v>0</v>
      </c>
      <c r="G255" s="4">
        <v>625648.32999999996</v>
      </c>
    </row>
    <row r="256" spans="1:7" ht="32.85" customHeight="1">
      <c r="A256" s="22">
        <v>677242545950</v>
      </c>
      <c r="B256" s="6" t="s">
        <v>19</v>
      </c>
      <c r="C256" s="23">
        <v>46137</v>
      </c>
      <c r="D256" s="8" t="s">
        <v>10</v>
      </c>
      <c r="E256" s="9">
        <v>0</v>
      </c>
      <c r="F256" s="24">
        <v>39748.71</v>
      </c>
      <c r="G256" s="24">
        <v>665397.04</v>
      </c>
    </row>
    <row r="257" spans="1:7" ht="21.6" customHeight="1">
      <c r="A257" s="21">
        <v>210042545950</v>
      </c>
      <c r="B257" s="13" t="s">
        <v>15</v>
      </c>
      <c r="C257" s="2">
        <v>46137</v>
      </c>
      <c r="D257" s="28"/>
      <c r="E257" s="16">
        <v>-596.23</v>
      </c>
      <c r="F257" s="3">
        <v>0</v>
      </c>
      <c r="G257" s="4">
        <v>664800.81000000006</v>
      </c>
    </row>
    <row r="258" spans="1:7" ht="15.75" customHeight="1">
      <c r="A258" s="22">
        <v>50944678610</v>
      </c>
      <c r="B258" s="6" t="s">
        <v>42</v>
      </c>
      <c r="C258" s="23">
        <v>46137</v>
      </c>
      <c r="D258" s="8" t="s">
        <v>10</v>
      </c>
      <c r="E258" s="9">
        <v>0</v>
      </c>
      <c r="F258" s="24">
        <v>33931.83</v>
      </c>
      <c r="G258" s="24">
        <v>698732.64</v>
      </c>
    </row>
    <row r="259" spans="1:7" ht="14.25" customHeight="1">
      <c r="A259" s="29"/>
      <c r="B259" s="30">
        <v>4141500569</v>
      </c>
      <c r="C259" s="29"/>
      <c r="D259" s="29"/>
      <c r="E259" s="29"/>
      <c r="F259" s="29"/>
      <c r="G259" s="29"/>
    </row>
    <row r="260" spans="1:7" ht="44.1" customHeight="1"/>
    <row r="261" spans="1:7" ht="21.6" customHeight="1">
      <c r="A261" s="21">
        <v>27244678610</v>
      </c>
      <c r="B261" s="13" t="s">
        <v>11</v>
      </c>
      <c r="C261" s="2">
        <v>46137</v>
      </c>
      <c r="D261" s="28"/>
      <c r="E261" s="16">
        <v>-508.98</v>
      </c>
      <c r="F261" s="3">
        <v>0</v>
      </c>
      <c r="G261" s="4">
        <v>698223.66</v>
      </c>
    </row>
    <row r="262" spans="1:7" ht="15.75" customHeight="1">
      <c r="A262" s="22">
        <v>329283549651</v>
      </c>
      <c r="B262" s="6" t="s">
        <v>52</v>
      </c>
      <c r="C262" s="23">
        <v>46138</v>
      </c>
      <c r="D262" s="8" t="s">
        <v>8</v>
      </c>
      <c r="E262" s="25">
        <v>-70000</v>
      </c>
      <c r="F262" s="10">
        <v>0</v>
      </c>
      <c r="G262" s="24">
        <v>628223.66</v>
      </c>
    </row>
    <row r="263" spans="1:7" ht="17.100000000000001" customHeight="1">
      <c r="A263" s="29"/>
      <c r="B263" s="31">
        <v>438592</v>
      </c>
      <c r="C263" s="29"/>
      <c r="D263" s="29"/>
      <c r="E263" s="29"/>
      <c r="F263" s="29"/>
      <c r="G263" s="29"/>
    </row>
    <row r="264" spans="1:7" ht="21.6" customHeight="1">
      <c r="A264" s="21">
        <v>676283549651</v>
      </c>
      <c r="B264" s="13" t="s">
        <v>13</v>
      </c>
      <c r="C264" s="2">
        <v>46138</v>
      </c>
      <c r="D264" s="28"/>
      <c r="E264" s="16">
        <v>-175</v>
      </c>
      <c r="F264" s="3">
        <v>0</v>
      </c>
      <c r="G264" s="4">
        <v>628048.66</v>
      </c>
    </row>
    <row r="265" spans="1:7" ht="33" customHeight="1">
      <c r="A265" s="22">
        <v>677243520689</v>
      </c>
      <c r="B265" s="6" t="s">
        <v>14</v>
      </c>
      <c r="C265" s="23">
        <v>46138</v>
      </c>
      <c r="D265" s="8" t="s">
        <v>10</v>
      </c>
      <c r="E265" s="9">
        <v>0</v>
      </c>
      <c r="F265" s="24">
        <v>19355</v>
      </c>
      <c r="G265" s="24">
        <v>647403.66</v>
      </c>
    </row>
    <row r="266" spans="1:7" ht="21.6" customHeight="1">
      <c r="A266" s="21">
        <v>210043520689</v>
      </c>
      <c r="B266" s="13" t="s">
        <v>15</v>
      </c>
      <c r="C266" s="2">
        <v>46138</v>
      </c>
      <c r="D266" s="28"/>
      <c r="E266" s="16">
        <v>-290.33</v>
      </c>
      <c r="F266" s="3">
        <v>0</v>
      </c>
      <c r="G266" s="4">
        <v>647113.32999999996</v>
      </c>
    </row>
    <row r="267" spans="1:7" ht="32.85" customHeight="1">
      <c r="A267" s="22">
        <v>50963043965</v>
      </c>
      <c r="B267" s="6" t="s">
        <v>23</v>
      </c>
      <c r="C267" s="23">
        <v>46138</v>
      </c>
      <c r="D267" s="8" t="s">
        <v>10</v>
      </c>
      <c r="E267" s="9">
        <v>0</v>
      </c>
      <c r="F267" s="24">
        <v>38780</v>
      </c>
      <c r="G267" s="24">
        <v>685893.33</v>
      </c>
    </row>
    <row r="268" spans="1:7" ht="21.75" customHeight="1">
      <c r="A268" s="21">
        <v>27263043965</v>
      </c>
      <c r="B268" s="13" t="s">
        <v>11</v>
      </c>
      <c r="C268" s="2">
        <v>46138</v>
      </c>
      <c r="D268" s="28"/>
      <c r="E268" s="16">
        <v>-581.70000000000005</v>
      </c>
      <c r="F268" s="3">
        <v>0</v>
      </c>
      <c r="G268" s="4">
        <v>685311.63</v>
      </c>
    </row>
    <row r="269" spans="1:7" ht="33" customHeight="1">
      <c r="A269" s="22">
        <v>677243725675</v>
      </c>
      <c r="B269" s="6" t="s">
        <v>19</v>
      </c>
      <c r="C269" s="23">
        <v>46138</v>
      </c>
      <c r="D269" s="8" t="s">
        <v>10</v>
      </c>
      <c r="E269" s="9">
        <v>0</v>
      </c>
      <c r="F269" s="24">
        <v>25691.24</v>
      </c>
      <c r="G269" s="24">
        <v>711002.87</v>
      </c>
    </row>
    <row r="270" spans="1:7" ht="21.6" customHeight="1">
      <c r="A270" s="21">
        <v>210043725675</v>
      </c>
      <c r="B270" s="13" t="s">
        <v>15</v>
      </c>
      <c r="C270" s="2">
        <v>46138</v>
      </c>
      <c r="D270" s="28"/>
      <c r="E270" s="16">
        <v>-385.37</v>
      </c>
      <c r="F270" s="3">
        <v>0</v>
      </c>
      <c r="G270" s="4">
        <v>710617.5</v>
      </c>
    </row>
    <row r="271" spans="1:7" ht="33" customHeight="1">
      <c r="A271" s="22">
        <v>677244359359</v>
      </c>
      <c r="B271" s="6" t="s">
        <v>14</v>
      </c>
      <c r="C271" s="23">
        <v>46138</v>
      </c>
      <c r="D271" s="8" t="s">
        <v>10</v>
      </c>
      <c r="E271" s="9">
        <v>0</v>
      </c>
      <c r="F271" s="24">
        <v>7258</v>
      </c>
      <c r="G271" s="24">
        <v>717875.5</v>
      </c>
    </row>
    <row r="272" spans="1:7" ht="21.6" customHeight="1">
      <c r="A272" s="21">
        <v>210044359359</v>
      </c>
      <c r="B272" s="13" t="s">
        <v>15</v>
      </c>
      <c r="C272" s="2">
        <v>46138</v>
      </c>
      <c r="D272" s="28"/>
      <c r="E272" s="16">
        <v>-108.87</v>
      </c>
      <c r="F272" s="3">
        <v>0</v>
      </c>
      <c r="G272" s="4">
        <v>717766.63</v>
      </c>
    </row>
    <row r="273" spans="1:7" ht="32.85" customHeight="1">
      <c r="A273" s="22">
        <v>677244412130</v>
      </c>
      <c r="B273" s="6" t="s">
        <v>14</v>
      </c>
      <c r="C273" s="23">
        <v>46138</v>
      </c>
      <c r="D273" s="8" t="s">
        <v>10</v>
      </c>
      <c r="E273" s="9">
        <v>0</v>
      </c>
      <c r="F273" s="24">
        <v>4839</v>
      </c>
      <c r="G273" s="24">
        <v>722605.63</v>
      </c>
    </row>
    <row r="274" spans="1:7" ht="21.6" customHeight="1">
      <c r="A274" s="21">
        <v>210044412130</v>
      </c>
      <c r="B274" s="13" t="s">
        <v>15</v>
      </c>
      <c r="C274" s="2">
        <v>46138</v>
      </c>
      <c r="D274" s="28"/>
      <c r="E274" s="16">
        <v>-72.59</v>
      </c>
      <c r="F274" s="3">
        <v>0</v>
      </c>
      <c r="G274" s="4">
        <v>722533.04</v>
      </c>
    </row>
    <row r="275" spans="1:7" ht="26.85" customHeight="1">
      <c r="A275" s="22">
        <v>50953712895</v>
      </c>
      <c r="B275" s="6" t="s">
        <v>9</v>
      </c>
      <c r="C275" s="23">
        <v>46138</v>
      </c>
      <c r="D275" s="8" t="s">
        <v>10</v>
      </c>
      <c r="E275" s="9">
        <v>0</v>
      </c>
      <c r="F275" s="24">
        <v>19400</v>
      </c>
      <c r="G275" s="24">
        <v>741933.04</v>
      </c>
    </row>
    <row r="276" spans="1:7" ht="44.1" customHeight="1"/>
    <row r="277" spans="1:7" ht="21.6" customHeight="1">
      <c r="A277" s="21">
        <v>27253712895</v>
      </c>
      <c r="B277" s="13" t="s">
        <v>11</v>
      </c>
      <c r="C277" s="2">
        <v>46138</v>
      </c>
      <c r="D277" s="28"/>
      <c r="E277" s="16">
        <v>-291</v>
      </c>
      <c r="F277" s="3">
        <v>0</v>
      </c>
      <c r="G277" s="4">
        <v>741642.04</v>
      </c>
    </row>
    <row r="278" spans="1:7" ht="15.75" customHeight="1">
      <c r="A278" s="22">
        <v>329283573359</v>
      </c>
      <c r="B278" s="6" t="s">
        <v>52</v>
      </c>
      <c r="C278" s="23">
        <v>46139</v>
      </c>
      <c r="D278" s="8" t="s">
        <v>8</v>
      </c>
      <c r="E278" s="25">
        <v>-15000</v>
      </c>
      <c r="F278" s="10">
        <v>0</v>
      </c>
      <c r="G278" s="24">
        <v>726642.04</v>
      </c>
    </row>
    <row r="279" spans="1:7" ht="17.100000000000001" customHeight="1">
      <c r="A279" s="29"/>
      <c r="B279" s="31">
        <v>438760</v>
      </c>
      <c r="C279" s="29"/>
      <c r="D279" s="29"/>
      <c r="E279" s="29"/>
      <c r="F279" s="29"/>
      <c r="G279" s="29"/>
    </row>
    <row r="280" spans="1:7" ht="21.6" customHeight="1">
      <c r="A280" s="21">
        <v>676283573359</v>
      </c>
      <c r="B280" s="13" t="s">
        <v>13</v>
      </c>
      <c r="C280" s="2">
        <v>46139</v>
      </c>
      <c r="D280" s="28"/>
      <c r="E280" s="16">
        <v>-37.5</v>
      </c>
      <c r="F280" s="3">
        <v>0</v>
      </c>
      <c r="G280" s="4">
        <v>726604.54</v>
      </c>
    </row>
    <row r="281" spans="1:7" ht="33" customHeight="1">
      <c r="A281" s="22">
        <v>329283596316</v>
      </c>
      <c r="B281" s="6" t="s">
        <v>53</v>
      </c>
      <c r="C281" s="23">
        <v>46139</v>
      </c>
      <c r="D281" s="8" t="s">
        <v>8</v>
      </c>
      <c r="E281" s="25">
        <v>-313000</v>
      </c>
      <c r="F281" s="10">
        <v>0</v>
      </c>
      <c r="G281" s="24">
        <v>413604.54</v>
      </c>
    </row>
    <row r="282" spans="1:7" ht="21.6" customHeight="1">
      <c r="A282" s="21">
        <v>676283596316</v>
      </c>
      <c r="B282" s="13" t="s">
        <v>13</v>
      </c>
      <c r="C282" s="2">
        <v>46139</v>
      </c>
      <c r="D282" s="28"/>
      <c r="E282" s="16">
        <v>-782.5</v>
      </c>
      <c r="F282" s="3">
        <v>0</v>
      </c>
      <c r="G282" s="4">
        <v>412822.04</v>
      </c>
    </row>
    <row r="283" spans="1:7" ht="32.85" customHeight="1">
      <c r="A283" s="22">
        <v>329283613194</v>
      </c>
      <c r="B283" s="6" t="s">
        <v>54</v>
      </c>
      <c r="C283" s="23">
        <v>46139</v>
      </c>
      <c r="D283" s="8" t="s">
        <v>8</v>
      </c>
      <c r="E283" s="25">
        <v>-30000</v>
      </c>
      <c r="F283" s="10">
        <v>0</v>
      </c>
      <c r="G283" s="24">
        <v>382822.04</v>
      </c>
    </row>
    <row r="284" spans="1:7" ht="21.75" customHeight="1">
      <c r="A284" s="21">
        <v>676283613194</v>
      </c>
      <c r="B284" s="13" t="s">
        <v>13</v>
      </c>
      <c r="C284" s="2">
        <v>46139</v>
      </c>
      <c r="D284" s="28"/>
      <c r="E284" s="16">
        <v>-75</v>
      </c>
      <c r="F284" s="3">
        <v>0</v>
      </c>
      <c r="G284" s="4">
        <v>382747.04</v>
      </c>
    </row>
    <row r="285" spans="1:7" ht="33" customHeight="1">
      <c r="A285" s="22">
        <v>50976057899</v>
      </c>
      <c r="B285" s="6" t="s">
        <v>23</v>
      </c>
      <c r="C285" s="23">
        <v>46139</v>
      </c>
      <c r="D285" s="8" t="s">
        <v>10</v>
      </c>
      <c r="E285" s="9">
        <v>0</v>
      </c>
      <c r="F285" s="24">
        <v>22298</v>
      </c>
      <c r="G285" s="24">
        <v>405045.04</v>
      </c>
    </row>
    <row r="286" spans="1:7" ht="21.6" customHeight="1">
      <c r="A286" s="21">
        <v>27276057899</v>
      </c>
      <c r="B286" s="13" t="s">
        <v>11</v>
      </c>
      <c r="C286" s="2">
        <v>46139</v>
      </c>
      <c r="D286" s="28"/>
      <c r="E286" s="16">
        <v>-334.47</v>
      </c>
      <c r="F286" s="3">
        <v>0</v>
      </c>
      <c r="G286" s="4">
        <v>404710.57</v>
      </c>
    </row>
    <row r="287" spans="1:7" ht="33" customHeight="1">
      <c r="A287" s="22">
        <v>50953891423</v>
      </c>
      <c r="B287" s="6" t="s">
        <v>9</v>
      </c>
      <c r="C287" s="23">
        <v>46139</v>
      </c>
      <c r="D287" s="8" t="s">
        <v>10</v>
      </c>
      <c r="E287" s="9">
        <v>0</v>
      </c>
      <c r="F287" s="24">
        <v>24200</v>
      </c>
      <c r="G287" s="24">
        <v>428910.57</v>
      </c>
    </row>
    <row r="288" spans="1:7" ht="21.6" customHeight="1">
      <c r="A288" s="21">
        <v>27253891423</v>
      </c>
      <c r="B288" s="13" t="s">
        <v>11</v>
      </c>
      <c r="C288" s="2">
        <v>46139</v>
      </c>
      <c r="D288" s="28"/>
      <c r="E288" s="16">
        <v>-363</v>
      </c>
      <c r="F288" s="3">
        <v>0</v>
      </c>
      <c r="G288" s="4">
        <v>428547.57</v>
      </c>
    </row>
    <row r="289" spans="1:7" ht="32.85" customHeight="1">
      <c r="A289" s="22">
        <v>677245971014</v>
      </c>
      <c r="B289" s="6" t="s">
        <v>14</v>
      </c>
      <c r="C289" s="23">
        <v>46139</v>
      </c>
      <c r="D289" s="8" t="s">
        <v>10</v>
      </c>
      <c r="E289" s="9">
        <v>0</v>
      </c>
      <c r="F289" s="24">
        <v>26661</v>
      </c>
      <c r="G289" s="24">
        <v>455208.57</v>
      </c>
    </row>
    <row r="290" spans="1:7" ht="21.6" customHeight="1">
      <c r="A290" s="21">
        <v>210045971014</v>
      </c>
      <c r="B290" s="13" t="s">
        <v>15</v>
      </c>
      <c r="C290" s="2">
        <v>46139</v>
      </c>
      <c r="D290" s="28"/>
      <c r="E290" s="16">
        <v>-399.91</v>
      </c>
      <c r="F290" s="3">
        <v>0</v>
      </c>
      <c r="G290" s="4">
        <v>454808.66</v>
      </c>
    </row>
    <row r="291" spans="1:7" ht="26.85" customHeight="1">
      <c r="A291" s="22">
        <v>50953969381</v>
      </c>
      <c r="B291" s="6" t="s">
        <v>9</v>
      </c>
      <c r="C291" s="23">
        <v>46139</v>
      </c>
      <c r="D291" s="8" t="s">
        <v>10</v>
      </c>
      <c r="E291" s="9">
        <v>0</v>
      </c>
      <c r="F291" s="24">
        <v>9700</v>
      </c>
      <c r="G291" s="24">
        <v>464508.66</v>
      </c>
    </row>
    <row r="292" spans="1:7" ht="44.1" customHeight="1"/>
    <row r="293" spans="1:7" ht="21.6" customHeight="1">
      <c r="A293" s="21">
        <v>27253969381</v>
      </c>
      <c r="B293" s="13" t="s">
        <v>11</v>
      </c>
      <c r="C293" s="2">
        <v>46139</v>
      </c>
      <c r="D293" s="28"/>
      <c r="E293" s="16">
        <v>-145.5</v>
      </c>
      <c r="F293" s="3">
        <v>0</v>
      </c>
      <c r="G293" s="4">
        <v>464363.16</v>
      </c>
    </row>
    <row r="294" spans="1:7" ht="32.85" customHeight="1">
      <c r="A294" s="22">
        <v>677246191052</v>
      </c>
      <c r="B294" s="6" t="s">
        <v>19</v>
      </c>
      <c r="C294" s="23">
        <v>46139</v>
      </c>
      <c r="D294" s="8" t="s">
        <v>10</v>
      </c>
      <c r="E294" s="9">
        <v>0</v>
      </c>
      <c r="F294" s="24">
        <v>29569.16</v>
      </c>
      <c r="G294" s="24">
        <v>493932.32</v>
      </c>
    </row>
    <row r="295" spans="1:7" ht="21.6" customHeight="1">
      <c r="A295" s="21">
        <v>210046191052</v>
      </c>
      <c r="B295" s="13" t="s">
        <v>15</v>
      </c>
      <c r="C295" s="2">
        <v>46139</v>
      </c>
      <c r="D295" s="28"/>
      <c r="E295" s="16">
        <v>-443.54</v>
      </c>
      <c r="F295" s="3">
        <v>0</v>
      </c>
      <c r="G295" s="4">
        <v>493488.78</v>
      </c>
    </row>
    <row r="296" spans="1:7" ht="33" customHeight="1">
      <c r="A296" s="22">
        <v>329283680541</v>
      </c>
      <c r="B296" s="6" t="s">
        <v>55</v>
      </c>
      <c r="C296" s="23">
        <v>46139</v>
      </c>
      <c r="D296" s="8" t="s">
        <v>8</v>
      </c>
      <c r="E296" s="25">
        <v>-21000</v>
      </c>
      <c r="F296" s="10">
        <v>0</v>
      </c>
      <c r="G296" s="24">
        <v>472488.78</v>
      </c>
    </row>
    <row r="297" spans="1:7" ht="21.6" customHeight="1">
      <c r="A297" s="21">
        <v>676283680541</v>
      </c>
      <c r="B297" s="13" t="s">
        <v>13</v>
      </c>
      <c r="C297" s="2">
        <v>46139</v>
      </c>
      <c r="D297" s="28"/>
      <c r="E297" s="16">
        <v>-52.5</v>
      </c>
      <c r="F297" s="3">
        <v>0</v>
      </c>
      <c r="G297" s="4">
        <v>472436.28</v>
      </c>
    </row>
    <row r="298" spans="1:7" ht="32.85" customHeight="1">
      <c r="A298" s="22">
        <v>677246279988</v>
      </c>
      <c r="B298" s="6" t="s">
        <v>14</v>
      </c>
      <c r="C298" s="23">
        <v>46139</v>
      </c>
      <c r="D298" s="8" t="s">
        <v>10</v>
      </c>
      <c r="E298" s="9">
        <v>0</v>
      </c>
      <c r="F298" s="24">
        <v>9695</v>
      </c>
      <c r="G298" s="24">
        <v>482131.28</v>
      </c>
    </row>
    <row r="299" spans="1:7" ht="21.75" customHeight="1">
      <c r="A299" s="21">
        <v>210046279988</v>
      </c>
      <c r="B299" s="13" t="s">
        <v>15</v>
      </c>
      <c r="C299" s="2">
        <v>46139</v>
      </c>
      <c r="D299" s="28"/>
      <c r="E299" s="16">
        <v>-145.41999999999999</v>
      </c>
      <c r="F299" s="3">
        <v>0</v>
      </c>
      <c r="G299" s="4">
        <v>481985.86</v>
      </c>
    </row>
    <row r="300" spans="1:7" ht="33" customHeight="1">
      <c r="A300" s="22">
        <v>50946325081</v>
      </c>
      <c r="B300" s="6" t="s">
        <v>17</v>
      </c>
      <c r="C300" s="23">
        <v>46139</v>
      </c>
      <c r="D300" s="8" t="s">
        <v>10</v>
      </c>
      <c r="E300" s="9">
        <v>0</v>
      </c>
      <c r="F300" s="24">
        <v>29084.42</v>
      </c>
      <c r="G300" s="24">
        <v>511070.28</v>
      </c>
    </row>
    <row r="301" spans="1:7" ht="21.6" customHeight="1">
      <c r="A301" s="21">
        <v>27246325081</v>
      </c>
      <c r="B301" s="13" t="s">
        <v>11</v>
      </c>
      <c r="C301" s="2">
        <v>46139</v>
      </c>
      <c r="D301" s="28"/>
      <c r="E301" s="16">
        <v>-436.27</v>
      </c>
      <c r="F301" s="3">
        <v>0</v>
      </c>
      <c r="G301" s="4">
        <v>510634.01</v>
      </c>
    </row>
    <row r="302" spans="1:7" ht="33" customHeight="1">
      <c r="A302" s="22">
        <v>329283705941</v>
      </c>
      <c r="B302" s="6" t="s">
        <v>56</v>
      </c>
      <c r="C302" s="23">
        <v>46140</v>
      </c>
      <c r="D302" s="8" t="s">
        <v>8</v>
      </c>
      <c r="E302" s="25">
        <v>-40000</v>
      </c>
      <c r="F302" s="10">
        <v>0</v>
      </c>
      <c r="G302" s="24">
        <v>470634.01</v>
      </c>
    </row>
    <row r="303" spans="1:7" ht="21.6" customHeight="1">
      <c r="A303" s="21">
        <v>676283705941</v>
      </c>
      <c r="B303" s="13" t="s">
        <v>13</v>
      </c>
      <c r="C303" s="2">
        <v>46140</v>
      </c>
      <c r="D303" s="28"/>
      <c r="E303" s="16">
        <v>-100</v>
      </c>
      <c r="F303" s="3">
        <v>0</v>
      </c>
      <c r="G303" s="4">
        <v>470534.01</v>
      </c>
    </row>
    <row r="304" spans="1:7" ht="32.85" customHeight="1">
      <c r="A304" s="22">
        <v>329283821090</v>
      </c>
      <c r="B304" s="6" t="s">
        <v>57</v>
      </c>
      <c r="C304" s="23">
        <v>46140</v>
      </c>
      <c r="D304" s="8" t="s">
        <v>8</v>
      </c>
      <c r="E304" s="25">
        <v>-25000</v>
      </c>
      <c r="F304" s="10">
        <v>0</v>
      </c>
      <c r="G304" s="24">
        <v>445534.01</v>
      </c>
    </row>
    <row r="305" spans="1:7" ht="21.6" customHeight="1">
      <c r="A305" s="21">
        <v>676283821090</v>
      </c>
      <c r="B305" s="13" t="s">
        <v>13</v>
      </c>
      <c r="C305" s="2">
        <v>46140</v>
      </c>
      <c r="D305" s="28"/>
      <c r="E305" s="16">
        <v>-62.5</v>
      </c>
      <c r="F305" s="3">
        <v>0</v>
      </c>
      <c r="G305" s="4">
        <v>445471.51</v>
      </c>
    </row>
    <row r="306" spans="1:7" ht="26.85" customHeight="1">
      <c r="A306" s="22">
        <v>50954150599</v>
      </c>
      <c r="B306" s="6" t="s">
        <v>9</v>
      </c>
      <c r="C306" s="23">
        <v>46140</v>
      </c>
      <c r="D306" s="8" t="s">
        <v>10</v>
      </c>
      <c r="E306" s="9">
        <v>0</v>
      </c>
      <c r="F306" s="24">
        <v>2000</v>
      </c>
      <c r="G306" s="24">
        <v>447471.51</v>
      </c>
    </row>
    <row r="307" spans="1:7" ht="44.1" customHeight="1"/>
    <row r="308" spans="1:7" ht="21.6" customHeight="1">
      <c r="A308" s="21">
        <v>27254150599</v>
      </c>
      <c r="B308" s="13" t="s">
        <v>11</v>
      </c>
      <c r="C308" s="2">
        <v>46140</v>
      </c>
      <c r="D308" s="28"/>
      <c r="E308" s="16">
        <v>-30</v>
      </c>
      <c r="F308" s="3">
        <v>0</v>
      </c>
      <c r="G308" s="4">
        <v>447441.51</v>
      </c>
    </row>
    <row r="309" spans="1:7" ht="32.85" customHeight="1">
      <c r="A309" s="22">
        <v>329283849622</v>
      </c>
      <c r="B309" s="6" t="s">
        <v>58</v>
      </c>
      <c r="C309" s="23">
        <v>46140</v>
      </c>
      <c r="D309" s="8" t="s">
        <v>8</v>
      </c>
      <c r="E309" s="25">
        <v>-15000</v>
      </c>
      <c r="F309" s="10">
        <v>0</v>
      </c>
      <c r="G309" s="24">
        <v>432441.51</v>
      </c>
    </row>
    <row r="310" spans="1:7" ht="21.6" customHeight="1">
      <c r="A310" s="21">
        <v>676283849622</v>
      </c>
      <c r="B310" s="13" t="s">
        <v>13</v>
      </c>
      <c r="C310" s="2">
        <v>46140</v>
      </c>
      <c r="D310" s="28"/>
      <c r="E310" s="16">
        <v>-37.5</v>
      </c>
      <c r="F310" s="3">
        <v>0</v>
      </c>
      <c r="G310" s="4">
        <v>432404.01</v>
      </c>
    </row>
    <row r="311" spans="1:7" ht="33" customHeight="1">
      <c r="A311" s="22">
        <v>50989947594</v>
      </c>
      <c r="B311" s="6" t="s">
        <v>23</v>
      </c>
      <c r="C311" s="23">
        <v>46140</v>
      </c>
      <c r="D311" s="8" t="s">
        <v>10</v>
      </c>
      <c r="E311" s="9">
        <v>0</v>
      </c>
      <c r="F311" s="24">
        <v>29114</v>
      </c>
      <c r="G311" s="24">
        <v>461518.01</v>
      </c>
    </row>
    <row r="312" spans="1:7" ht="21.6" customHeight="1">
      <c r="A312" s="21">
        <v>27289947594</v>
      </c>
      <c r="B312" s="13" t="s">
        <v>11</v>
      </c>
      <c r="C312" s="2">
        <v>46140</v>
      </c>
      <c r="D312" s="28"/>
      <c r="E312" s="16">
        <v>-436.71</v>
      </c>
      <c r="F312" s="3">
        <v>0</v>
      </c>
      <c r="G312" s="4">
        <v>461081.3</v>
      </c>
    </row>
    <row r="313" spans="1:7" ht="32.85" customHeight="1">
      <c r="A313" s="22">
        <v>50954275722</v>
      </c>
      <c r="B313" s="6" t="s">
        <v>9</v>
      </c>
      <c r="C313" s="23">
        <v>46140</v>
      </c>
      <c r="D313" s="8" t="s">
        <v>10</v>
      </c>
      <c r="E313" s="9">
        <v>0</v>
      </c>
      <c r="F313" s="24">
        <v>17400</v>
      </c>
      <c r="G313" s="24">
        <v>478481.3</v>
      </c>
    </row>
    <row r="314" spans="1:7" ht="21.75" customHeight="1">
      <c r="A314" s="21">
        <v>27254275722</v>
      </c>
      <c r="B314" s="13" t="s">
        <v>11</v>
      </c>
      <c r="C314" s="2">
        <v>46140</v>
      </c>
      <c r="D314" s="28"/>
      <c r="E314" s="16">
        <v>-261</v>
      </c>
      <c r="F314" s="3">
        <v>0</v>
      </c>
      <c r="G314" s="4">
        <v>478220.3</v>
      </c>
    </row>
    <row r="315" spans="1:7" ht="33" customHeight="1">
      <c r="A315" s="22">
        <v>677248247579</v>
      </c>
      <c r="B315" s="6" t="s">
        <v>19</v>
      </c>
      <c r="C315" s="23">
        <v>46140</v>
      </c>
      <c r="D315" s="8" t="s">
        <v>10</v>
      </c>
      <c r="E315" s="9">
        <v>0</v>
      </c>
      <c r="F315" s="24">
        <v>67048.399999999994</v>
      </c>
      <c r="G315" s="24">
        <v>545268.69999999995</v>
      </c>
    </row>
    <row r="316" spans="1:7" ht="21.6" customHeight="1">
      <c r="A316" s="21">
        <v>210048247579</v>
      </c>
      <c r="B316" s="13" t="s">
        <v>15</v>
      </c>
      <c r="C316" s="2">
        <v>46140</v>
      </c>
      <c r="D316" s="28"/>
      <c r="E316" s="18">
        <v>-1005.73</v>
      </c>
      <c r="F316" s="3">
        <v>0</v>
      </c>
      <c r="G316" s="4">
        <v>544262.97</v>
      </c>
    </row>
    <row r="317" spans="1:7" ht="33" customHeight="1">
      <c r="A317" s="22">
        <v>677248287635</v>
      </c>
      <c r="B317" s="6" t="s">
        <v>14</v>
      </c>
      <c r="C317" s="23">
        <v>46140</v>
      </c>
      <c r="D317" s="8" t="s">
        <v>10</v>
      </c>
      <c r="E317" s="9">
        <v>0</v>
      </c>
      <c r="F317" s="24">
        <v>9705</v>
      </c>
      <c r="G317" s="24">
        <v>553967.97</v>
      </c>
    </row>
    <row r="318" spans="1:7" ht="21.6" customHeight="1">
      <c r="A318" s="21">
        <v>210048287635</v>
      </c>
      <c r="B318" s="13" t="s">
        <v>15</v>
      </c>
      <c r="C318" s="2">
        <v>46140</v>
      </c>
      <c r="D318" s="28"/>
      <c r="E318" s="16">
        <v>-145.58000000000001</v>
      </c>
      <c r="F318" s="3">
        <v>0</v>
      </c>
      <c r="G318" s="4">
        <v>553822.39</v>
      </c>
    </row>
    <row r="319" spans="1:7" ht="32.85" customHeight="1">
      <c r="A319" s="22">
        <v>50947205873</v>
      </c>
      <c r="B319" s="6" t="s">
        <v>17</v>
      </c>
      <c r="C319" s="23">
        <v>46140</v>
      </c>
      <c r="D319" s="8" t="s">
        <v>10</v>
      </c>
      <c r="E319" s="9">
        <v>0</v>
      </c>
      <c r="F319" s="24">
        <v>29113.51</v>
      </c>
      <c r="G319" s="24">
        <v>582935.9</v>
      </c>
    </row>
    <row r="320" spans="1:7" ht="21.6" customHeight="1">
      <c r="A320" s="21">
        <v>27247205873</v>
      </c>
      <c r="B320" s="13" t="s">
        <v>11</v>
      </c>
      <c r="C320" s="2">
        <v>46140</v>
      </c>
      <c r="D320" s="28"/>
      <c r="E320" s="16">
        <v>-436.7</v>
      </c>
      <c r="F320" s="3">
        <v>0</v>
      </c>
      <c r="G320" s="4">
        <v>582499.19999999995</v>
      </c>
    </row>
    <row r="321" spans="1:7" ht="27" customHeight="1">
      <c r="A321" s="22">
        <v>329284004563</v>
      </c>
      <c r="B321" s="6" t="s">
        <v>59</v>
      </c>
      <c r="C321" s="23">
        <v>46141</v>
      </c>
      <c r="D321" s="8" t="s">
        <v>8</v>
      </c>
      <c r="E321" s="25">
        <v>-20000</v>
      </c>
      <c r="F321" s="10">
        <v>0</v>
      </c>
      <c r="G321" s="24">
        <v>562499.19999999995</v>
      </c>
    </row>
    <row r="322" spans="1:7" ht="44.1" customHeight="1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topLeftCell="A19" workbookViewId="0">
      <selection activeCell="A2" sqref="A2:G171"/>
    </sheetView>
  </sheetViews>
  <sheetFormatPr baseColWidth="10" defaultColWidth="9.33203125" defaultRowHeight="12.75"/>
  <cols>
    <col min="1" max="1" width="18.83203125" customWidth="1"/>
    <col min="2" max="2" width="54.83203125" customWidth="1"/>
    <col min="3" max="3" width="14" customWidth="1"/>
    <col min="4" max="4" width="6.1640625" customWidth="1"/>
    <col min="5" max="5" width="15.33203125" customWidth="1"/>
    <col min="6" max="6" width="12.5" customWidth="1"/>
    <col min="7" max="7" width="14" customWidth="1"/>
  </cols>
  <sheetData>
    <row r="1" spans="1:7" ht="17.25" customHeight="1">
      <c r="A1" s="1" t="s">
        <v>0</v>
      </c>
      <c r="B1" s="1" t="s">
        <v>1</v>
      </c>
      <c r="C1" s="1" t="s">
        <v>2</v>
      </c>
      <c r="D1" s="19"/>
      <c r="E1" s="20" t="s">
        <v>3</v>
      </c>
      <c r="F1" s="1" t="s">
        <v>4</v>
      </c>
      <c r="G1" s="1" t="s">
        <v>5</v>
      </c>
    </row>
    <row r="2" spans="1:7" ht="21.6" customHeight="1">
      <c r="A2" s="21">
        <v>676284004563</v>
      </c>
      <c r="B2" s="13" t="s">
        <v>13</v>
      </c>
      <c r="C2" s="2">
        <v>46141</v>
      </c>
      <c r="D2" s="28"/>
      <c r="E2" s="16">
        <v>-50</v>
      </c>
      <c r="F2" s="3">
        <v>0</v>
      </c>
      <c r="G2" s="4">
        <v>562449.19999999995</v>
      </c>
    </row>
    <row r="3" spans="1:7" ht="32.85" customHeight="1">
      <c r="A3" s="22">
        <v>50991498403</v>
      </c>
      <c r="B3" s="6" t="s">
        <v>23</v>
      </c>
      <c r="C3" s="23">
        <v>46141</v>
      </c>
      <c r="D3" s="8" t="s">
        <v>10</v>
      </c>
      <c r="E3" s="9">
        <v>0</v>
      </c>
      <c r="F3" s="24">
        <v>38900</v>
      </c>
      <c r="G3" s="24">
        <v>601349.19999999995</v>
      </c>
    </row>
    <row r="4" spans="1:7" ht="21.6" customHeight="1">
      <c r="A4" s="21">
        <v>27291498403</v>
      </c>
      <c r="B4" s="13" t="s">
        <v>11</v>
      </c>
      <c r="C4" s="2">
        <v>46141</v>
      </c>
      <c r="D4" s="28"/>
      <c r="E4" s="16">
        <v>-583.5</v>
      </c>
      <c r="F4" s="3">
        <v>0</v>
      </c>
      <c r="G4" s="4">
        <v>600765.69999999995</v>
      </c>
    </row>
    <row r="5" spans="1:7" ht="33" customHeight="1">
      <c r="A5" s="22">
        <v>50954533131</v>
      </c>
      <c r="B5" s="6" t="s">
        <v>9</v>
      </c>
      <c r="C5" s="23">
        <v>46141</v>
      </c>
      <c r="D5" s="8" t="s">
        <v>10</v>
      </c>
      <c r="E5" s="9">
        <v>0</v>
      </c>
      <c r="F5" s="24">
        <v>19500</v>
      </c>
      <c r="G5" s="24">
        <v>620265.69999999995</v>
      </c>
    </row>
    <row r="6" spans="1:7" ht="21.6" customHeight="1">
      <c r="A6" s="21">
        <v>27254533131</v>
      </c>
      <c r="B6" s="13" t="s">
        <v>11</v>
      </c>
      <c r="C6" s="2">
        <v>46141</v>
      </c>
      <c r="D6" s="28"/>
      <c r="E6" s="16">
        <v>-292.5</v>
      </c>
      <c r="F6" s="3">
        <v>0</v>
      </c>
      <c r="G6" s="4">
        <v>619973.19999999995</v>
      </c>
    </row>
    <row r="7" spans="1:7" ht="32.85" customHeight="1">
      <c r="A7" s="22">
        <v>677249990454</v>
      </c>
      <c r="B7" s="6" t="s">
        <v>14</v>
      </c>
      <c r="C7" s="23">
        <v>46141</v>
      </c>
      <c r="D7" s="8" t="s">
        <v>10</v>
      </c>
      <c r="E7" s="9">
        <v>0</v>
      </c>
      <c r="F7" s="24">
        <v>24310</v>
      </c>
      <c r="G7" s="24">
        <v>644283.19999999995</v>
      </c>
    </row>
    <row r="8" spans="1:7" ht="21.75" customHeight="1">
      <c r="A8" s="21">
        <v>210049990454</v>
      </c>
      <c r="B8" s="13" t="s">
        <v>15</v>
      </c>
      <c r="C8" s="2">
        <v>46141</v>
      </c>
      <c r="D8" s="28"/>
      <c r="E8" s="16">
        <v>-364.65</v>
      </c>
      <c r="F8" s="3">
        <v>0</v>
      </c>
      <c r="G8" s="4">
        <v>643918.55000000005</v>
      </c>
    </row>
    <row r="9" spans="1:7" ht="33" customHeight="1">
      <c r="A9" s="22">
        <v>50948094110</v>
      </c>
      <c r="B9" s="6" t="s">
        <v>17</v>
      </c>
      <c r="C9" s="23">
        <v>46141</v>
      </c>
      <c r="D9" s="8" t="s">
        <v>10</v>
      </c>
      <c r="E9" s="9">
        <v>0</v>
      </c>
      <c r="F9" s="24">
        <v>29171.73</v>
      </c>
      <c r="G9" s="24">
        <v>673090.28</v>
      </c>
    </row>
    <row r="10" spans="1:7" ht="21.6" customHeight="1">
      <c r="A10" s="21">
        <v>27248094110</v>
      </c>
      <c r="B10" s="13" t="s">
        <v>11</v>
      </c>
      <c r="C10" s="2">
        <v>46141</v>
      </c>
      <c r="D10" s="28"/>
      <c r="E10" s="16">
        <v>-437.58</v>
      </c>
      <c r="F10" s="3">
        <v>0</v>
      </c>
      <c r="G10" s="4">
        <v>672652.7</v>
      </c>
    </row>
    <row r="11" spans="1:7" ht="33" customHeight="1">
      <c r="A11" s="22">
        <v>677251120999</v>
      </c>
      <c r="B11" s="6" t="s">
        <v>14</v>
      </c>
      <c r="C11" s="23">
        <v>46142</v>
      </c>
      <c r="D11" s="8" t="s">
        <v>10</v>
      </c>
      <c r="E11" s="9">
        <v>0</v>
      </c>
      <c r="F11" s="24">
        <v>9724</v>
      </c>
      <c r="G11" s="24">
        <v>682376.7</v>
      </c>
    </row>
    <row r="12" spans="1:7" ht="21.6" customHeight="1">
      <c r="A12" s="21">
        <v>210051120999</v>
      </c>
      <c r="B12" s="13" t="s">
        <v>15</v>
      </c>
      <c r="C12" s="2">
        <v>46142</v>
      </c>
      <c r="D12" s="28"/>
      <c r="E12" s="16">
        <v>-145.86000000000001</v>
      </c>
      <c r="F12" s="3">
        <v>0</v>
      </c>
      <c r="G12" s="4">
        <v>682230.84</v>
      </c>
    </row>
    <row r="13" spans="1:7" ht="32.85" customHeight="1">
      <c r="A13" s="22">
        <v>677251234956</v>
      </c>
      <c r="B13" s="6" t="s">
        <v>14</v>
      </c>
      <c r="C13" s="23">
        <v>46142</v>
      </c>
      <c r="D13" s="8" t="s">
        <v>10</v>
      </c>
      <c r="E13" s="9">
        <v>0</v>
      </c>
      <c r="F13" s="24">
        <v>14586</v>
      </c>
      <c r="G13" s="24">
        <v>696816.84</v>
      </c>
    </row>
    <row r="14" spans="1:7" ht="21.6" customHeight="1">
      <c r="A14" s="21">
        <v>210051234956</v>
      </c>
      <c r="B14" s="13" t="s">
        <v>15</v>
      </c>
      <c r="C14" s="2">
        <v>46142</v>
      </c>
      <c r="D14" s="28"/>
      <c r="E14" s="16">
        <v>-218.79</v>
      </c>
      <c r="F14" s="3">
        <v>0</v>
      </c>
      <c r="G14" s="4">
        <v>696598.05</v>
      </c>
    </row>
    <row r="15" spans="1:7" ht="26.85" customHeight="1">
      <c r="A15" s="22">
        <v>50954797456</v>
      </c>
      <c r="B15" s="6" t="s">
        <v>9</v>
      </c>
      <c r="C15" s="23">
        <v>46142</v>
      </c>
      <c r="D15" s="8" t="s">
        <v>10</v>
      </c>
      <c r="E15" s="9">
        <v>0</v>
      </c>
      <c r="F15" s="24">
        <v>24350</v>
      </c>
      <c r="G15" s="24">
        <v>720948.05</v>
      </c>
    </row>
    <row r="16" spans="1:7" ht="44.1" customHeight="1"/>
    <row r="17" spans="1:7" ht="227.1" customHeight="1"/>
    <row r="18" spans="1:7" ht="17.25" customHeight="1">
      <c r="A18" s="1" t="s">
        <v>0</v>
      </c>
      <c r="B18" s="1" t="s">
        <v>1</v>
      </c>
      <c r="C18" s="1" t="s">
        <v>2</v>
      </c>
      <c r="D18" s="19"/>
      <c r="E18" s="20" t="s">
        <v>3</v>
      </c>
      <c r="F18" s="1" t="s">
        <v>4</v>
      </c>
      <c r="G18" s="1" t="s">
        <v>5</v>
      </c>
    </row>
    <row r="19" spans="1:7" ht="21.6" customHeight="1">
      <c r="A19" s="21">
        <v>27254797456</v>
      </c>
      <c r="B19" s="13"/>
      <c r="C19" s="2">
        <v>46142</v>
      </c>
      <c r="D19" s="28"/>
      <c r="E19" s="16">
        <v>-365.25</v>
      </c>
      <c r="F19" s="3">
        <v>0</v>
      </c>
      <c r="G19" s="4">
        <v>720582.8</v>
      </c>
    </row>
    <row r="20" spans="1:7" ht="32.85" customHeight="1">
      <c r="A20" s="22">
        <v>329287546364</v>
      </c>
      <c r="B20" s="6" t="s">
        <v>60</v>
      </c>
      <c r="C20" s="23">
        <v>46142</v>
      </c>
      <c r="D20" s="8" t="s">
        <v>8</v>
      </c>
      <c r="E20" s="25">
        <v>-20000</v>
      </c>
      <c r="F20" s="10">
        <v>0</v>
      </c>
      <c r="G20" s="24">
        <v>700582.8</v>
      </c>
    </row>
    <row r="21" spans="1:7" ht="21.6" customHeight="1">
      <c r="A21" s="21">
        <v>676287546364</v>
      </c>
      <c r="B21" s="13" t="s">
        <v>13</v>
      </c>
      <c r="C21" s="2">
        <v>46142</v>
      </c>
      <c r="D21" s="28"/>
      <c r="E21" s="16">
        <v>-50</v>
      </c>
      <c r="F21" s="3">
        <v>0</v>
      </c>
      <c r="G21" s="4">
        <v>700532.8</v>
      </c>
    </row>
    <row r="22" spans="1:7" ht="33" customHeight="1">
      <c r="A22" s="22">
        <v>329287566751</v>
      </c>
      <c r="B22" s="6" t="s">
        <v>61</v>
      </c>
      <c r="C22" s="23">
        <v>46142</v>
      </c>
      <c r="D22" s="8" t="s">
        <v>8</v>
      </c>
      <c r="E22" s="25">
        <v>-10000</v>
      </c>
      <c r="F22" s="10">
        <v>0</v>
      </c>
      <c r="G22" s="24">
        <v>690532.8</v>
      </c>
    </row>
    <row r="23" spans="1:7" ht="21.6" customHeight="1">
      <c r="A23" s="21">
        <v>676287566751</v>
      </c>
      <c r="B23" s="13" t="s">
        <v>13</v>
      </c>
      <c r="C23" s="2">
        <v>46142</v>
      </c>
      <c r="D23" s="28"/>
      <c r="E23" s="16">
        <v>-25</v>
      </c>
      <c r="F23" s="3">
        <v>0</v>
      </c>
      <c r="G23" s="4">
        <v>690507.8</v>
      </c>
    </row>
    <row r="24" spans="1:7" ht="32.85" customHeight="1">
      <c r="A24" s="22">
        <v>50906949055</v>
      </c>
      <c r="B24" s="6" t="s">
        <v>23</v>
      </c>
      <c r="C24" s="23">
        <v>46142</v>
      </c>
      <c r="D24" s="8" t="s">
        <v>10</v>
      </c>
      <c r="E24" s="9">
        <v>0</v>
      </c>
      <c r="F24" s="24">
        <v>38970</v>
      </c>
      <c r="G24" s="24">
        <v>729477.8</v>
      </c>
    </row>
    <row r="25" spans="1:7" ht="21.75" customHeight="1">
      <c r="A25" s="21">
        <v>27206949055</v>
      </c>
      <c r="B25" s="13" t="s">
        <v>11</v>
      </c>
      <c r="C25" s="2">
        <v>46142</v>
      </c>
      <c r="D25" s="28"/>
      <c r="E25" s="16">
        <v>-584.54999999999995</v>
      </c>
      <c r="F25" s="3">
        <v>0</v>
      </c>
      <c r="G25" s="4">
        <v>728893.25</v>
      </c>
    </row>
    <row r="26" spans="1:7" ht="33" customHeight="1">
      <c r="A26" s="22">
        <v>329287592952</v>
      </c>
      <c r="B26" s="6" t="s">
        <v>62</v>
      </c>
      <c r="C26" s="23">
        <v>46142</v>
      </c>
      <c r="D26" s="8" t="s">
        <v>8</v>
      </c>
      <c r="E26" s="25">
        <v>-23000</v>
      </c>
      <c r="F26" s="10">
        <v>0</v>
      </c>
      <c r="G26" s="24">
        <v>705893.25</v>
      </c>
    </row>
    <row r="27" spans="1:7" ht="21.6" customHeight="1">
      <c r="A27" s="21">
        <v>676287592952</v>
      </c>
      <c r="B27" s="13" t="s">
        <v>13</v>
      </c>
      <c r="C27" s="2">
        <v>46142</v>
      </c>
      <c r="D27" s="28"/>
      <c r="E27" s="16">
        <v>-57.5</v>
      </c>
      <c r="F27" s="3">
        <v>0</v>
      </c>
      <c r="G27" s="4">
        <v>705835.75</v>
      </c>
    </row>
    <row r="28" spans="1:7" ht="44.1" customHeight="1"/>
    <row r="29" spans="1:7" ht="36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2026-05-14-EstadoDeCuenta.pdf</dc:title>
  <dc:creator>Carlos Rodriguez</dc:creator>
  <cp:lastModifiedBy>Carlos Rodriguez Colmenares</cp:lastModifiedBy>
  <dcterms:created xsi:type="dcterms:W3CDTF">2026-05-15T12:34:47Z</dcterms:created>
  <dcterms:modified xsi:type="dcterms:W3CDTF">2026-06-18T20:38:03Z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2026-05-15T00:00:00Z</vt:filetime>
  </property>
  <property fmtid="{D5CDD505-2E9C-101B-9397-08002B2CF9AE}" pid="3" name="LastSaved">
    <vt:filetime>2026-05-15T00:00:00Z</vt:filetime>
  </property>
  <property fmtid="{D5CDD505-2E9C-101B-9397-08002B2CF9AE}" pid="4" name="Producer">
    <vt:lpwstr>Microsoft: Print To PDF</vt:lpwstr>
  </property>
</Properties>
</file>