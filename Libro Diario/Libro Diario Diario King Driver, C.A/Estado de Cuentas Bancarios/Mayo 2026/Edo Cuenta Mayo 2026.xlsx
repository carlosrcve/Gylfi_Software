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rlos Rodriguez\Desktop\Software_KD\Libro Diario\Libro Diario Diario King Driver, C.A\Estado de Cuentas Bancarios\Mayo 2026\"/>
    </mc:Choice>
  </mc:AlternateContent>
  <xr:revisionPtr revIDLastSave="0" documentId="13_ncr:1_{E582F4DB-49C4-4825-8C5C-A198E40142A4}" xr6:coauthVersionLast="47" xr6:coauthVersionMax="47" xr10:uidLastSave="{00000000-0000-0000-0000-000000000000}"/>
  <bookViews>
    <workbookView xWindow="-120" yWindow="-120" windowWidth="20730" windowHeight="11160" xr2:uid="{4C50411D-3885-453C-8C15-9F73BA1CFDE4}"/>
  </bookViews>
  <sheets>
    <sheet name="Hoja1" sheetId="1" r:id="rId1"/>
    <sheet name="Hoja4" sheetId="4" r:id="rId2"/>
    <sheet name="Hoja5" sheetId="5" r:id="rId3"/>
    <sheet name="Hoja2" sheetId="2" r:id="rId4"/>
    <sheet name="Hoja3" sheetId="3" r:id="rId5"/>
  </sheets>
  <definedNames>
    <definedName name="_xlnm._FilterDatabase" localSheetId="0" hidden="1">Hoja1!$A$2:$I$251</definedName>
    <definedName name="_xlnm._FilterDatabase" localSheetId="1" hidden="1">Hoja4!$E$1:$F$37</definedName>
    <definedName name="_xlnm._FilterDatabase" localSheetId="2" hidden="1">Hoja5!$D$1:$E$36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12" i="2" l="1"/>
  <c r="E4" i="2"/>
  <c r="E9" i="2"/>
  <c r="J10" i="2" l="1"/>
  <c r="E8" i="2"/>
  <c r="J182" i="1"/>
  <c r="J240" i="1"/>
  <c r="J230" i="1"/>
  <c r="J200" i="1"/>
  <c r="J186" i="1"/>
  <c r="J170" i="1"/>
  <c r="J105" i="1"/>
  <c r="J89" i="1"/>
  <c r="J85" i="1"/>
  <c r="J57" i="1"/>
  <c r="J63" i="1"/>
  <c r="F1" i="1"/>
  <c r="E1" i="1"/>
  <c r="G4" i="1"/>
  <c r="G5" i="1" s="1"/>
  <c r="G6" i="1" s="1"/>
  <c r="G7" i="1" s="1"/>
  <c r="G8" i="1" s="1"/>
  <c r="G9" i="1" s="1"/>
  <c r="G10" i="1" s="1"/>
  <c r="G11" i="1" s="1"/>
  <c r="G12" i="1" s="1"/>
  <c r="G13" i="1" s="1"/>
  <c r="G14" i="1" s="1"/>
  <c r="G15" i="1" s="1"/>
  <c r="G16" i="1" s="1"/>
  <c r="G17" i="1" s="1"/>
  <c r="G18" i="1" s="1"/>
  <c r="G19" i="1" s="1"/>
  <c r="G20" i="1" s="1"/>
  <c r="G21" i="1" s="1"/>
  <c r="G22" i="1" s="1"/>
  <c r="G23" i="1" s="1"/>
  <c r="G24" i="1" s="1"/>
  <c r="G25" i="1" s="1"/>
  <c r="G26" i="1" s="1"/>
  <c r="G27" i="1" s="1"/>
  <c r="G28" i="1" s="1"/>
  <c r="G29" i="1" s="1"/>
  <c r="G30" i="1" s="1"/>
  <c r="G31" i="1" s="1"/>
  <c r="G32" i="1" s="1"/>
  <c r="G33" i="1" s="1"/>
  <c r="G34" i="1" s="1"/>
  <c r="G35" i="1" s="1"/>
  <c r="G36" i="1" s="1"/>
  <c r="G37" i="1" s="1"/>
  <c r="G38" i="1" s="1"/>
  <c r="G39" i="1" s="1"/>
  <c r="G40" i="1" s="1"/>
  <c r="G41" i="1" s="1"/>
  <c r="G42" i="1" s="1"/>
  <c r="G43" i="1" s="1"/>
  <c r="G44" i="1" s="1"/>
  <c r="G45" i="1" s="1"/>
  <c r="G46" i="1" s="1"/>
  <c r="G47" i="1" s="1"/>
  <c r="G48" i="1" s="1"/>
  <c r="G49" i="1" s="1"/>
  <c r="G50" i="1" s="1"/>
  <c r="G51" i="1" s="1"/>
  <c r="G52" i="1" s="1"/>
  <c r="G53" i="1" s="1"/>
  <c r="G54" i="1" s="1"/>
  <c r="G55" i="1" s="1"/>
  <c r="G56" i="1" s="1"/>
  <c r="G57" i="1" s="1"/>
  <c r="G58" i="1" s="1"/>
  <c r="G59" i="1" s="1"/>
  <c r="G60" i="1" s="1"/>
  <c r="G61" i="1" s="1"/>
  <c r="G62" i="1" s="1"/>
  <c r="G63" i="1" s="1"/>
  <c r="G64" i="1" s="1"/>
  <c r="G65" i="1" s="1"/>
  <c r="G66" i="1" s="1"/>
  <c r="G67" i="1" s="1"/>
  <c r="G68" i="1" s="1"/>
  <c r="G69" i="1" s="1"/>
  <c r="G70" i="1" s="1"/>
  <c r="G71" i="1" s="1"/>
  <c r="G72" i="1" s="1"/>
  <c r="G73" i="1" s="1"/>
  <c r="G74" i="1" s="1"/>
  <c r="G75" i="1" s="1"/>
  <c r="G76" i="1" s="1"/>
  <c r="G77" i="1" s="1"/>
  <c r="G78" i="1" s="1"/>
  <c r="G79" i="1" s="1"/>
  <c r="G80" i="1" s="1"/>
  <c r="G81" i="1" s="1"/>
  <c r="G82" i="1" s="1"/>
  <c r="G83" i="1" s="1"/>
  <c r="G84" i="1" s="1"/>
  <c r="G85" i="1" s="1"/>
  <c r="G86" i="1" s="1"/>
  <c r="G87" i="1" s="1"/>
  <c r="G88" i="1" s="1"/>
  <c r="G89" i="1" s="1"/>
  <c r="G90" i="1" s="1"/>
  <c r="G91" i="1" s="1"/>
  <c r="G92" i="1" s="1"/>
  <c r="G93" i="1" s="1"/>
  <c r="G94" i="1" s="1"/>
  <c r="G95" i="1" s="1"/>
  <c r="G96" i="1" s="1"/>
  <c r="G97" i="1" s="1"/>
  <c r="G98" i="1" s="1"/>
  <c r="G99" i="1" s="1"/>
  <c r="G100" i="1" s="1"/>
  <c r="G101" i="1" s="1"/>
  <c r="G102" i="1" s="1"/>
  <c r="G103" i="1" s="1"/>
  <c r="G104" i="1" s="1"/>
  <c r="G105" i="1" s="1"/>
  <c r="G106" i="1" s="1"/>
  <c r="G107" i="1" s="1"/>
  <c r="G108" i="1" s="1"/>
  <c r="G109" i="1" s="1"/>
  <c r="G110" i="1" s="1"/>
  <c r="G111" i="1" s="1"/>
  <c r="G112" i="1" s="1"/>
  <c r="G113" i="1" s="1"/>
  <c r="G114" i="1" s="1"/>
  <c r="G115" i="1" s="1"/>
  <c r="G116" i="1" s="1"/>
  <c r="G117" i="1" s="1"/>
  <c r="G118" i="1" s="1"/>
  <c r="G119" i="1" s="1"/>
  <c r="G120" i="1" s="1"/>
  <c r="G121" i="1" s="1"/>
  <c r="G122" i="1" s="1"/>
  <c r="G123" i="1" s="1"/>
  <c r="G124" i="1" s="1"/>
  <c r="G125" i="1" s="1"/>
  <c r="G126" i="1" s="1"/>
  <c r="G127" i="1" s="1"/>
  <c r="G128" i="1" s="1"/>
  <c r="G129" i="1" s="1"/>
  <c r="G130" i="1" s="1"/>
  <c r="G131" i="1" s="1"/>
  <c r="G132" i="1" s="1"/>
  <c r="G133" i="1" s="1"/>
  <c r="G134" i="1" s="1"/>
  <c r="G135" i="1" s="1"/>
  <c r="G136" i="1" s="1"/>
  <c r="G137" i="1" s="1"/>
  <c r="G138" i="1" s="1"/>
  <c r="G139" i="1" s="1"/>
  <c r="G140" i="1" s="1"/>
  <c r="G141" i="1" s="1"/>
  <c r="G142" i="1" s="1"/>
  <c r="G143" i="1" s="1"/>
  <c r="G144" i="1" s="1"/>
  <c r="G145" i="1" s="1"/>
  <c r="G146" i="1" s="1"/>
  <c r="G147" i="1" s="1"/>
  <c r="G148" i="1" s="1"/>
  <c r="G149" i="1" s="1"/>
  <c r="G150" i="1" s="1"/>
  <c r="G151" i="1" s="1"/>
  <c r="G152" i="1" s="1"/>
  <c r="G153" i="1" s="1"/>
  <c r="G154" i="1" s="1"/>
  <c r="G155" i="1" s="1"/>
  <c r="G156" i="1" s="1"/>
  <c r="G157" i="1" s="1"/>
  <c r="G158" i="1" s="1"/>
  <c r="G159" i="1" s="1"/>
  <c r="G160" i="1" s="1"/>
  <c r="G161" i="1" s="1"/>
  <c r="G162" i="1" s="1"/>
  <c r="G163" i="1" s="1"/>
  <c r="G164" i="1" s="1"/>
  <c r="G165" i="1" s="1"/>
  <c r="G166" i="1" s="1"/>
  <c r="G167" i="1" s="1"/>
  <c r="G168" i="1" s="1"/>
  <c r="G169" i="1" s="1"/>
  <c r="G170" i="1" s="1"/>
  <c r="G171" i="1" s="1"/>
  <c r="G172" i="1" s="1"/>
  <c r="G173" i="1" s="1"/>
  <c r="G174" i="1" s="1"/>
  <c r="G175" i="1" s="1"/>
  <c r="G176" i="1" s="1"/>
  <c r="G177" i="1" s="1"/>
  <c r="G178" i="1" s="1"/>
  <c r="G179" i="1" s="1"/>
  <c r="G180" i="1" s="1"/>
  <c r="G181" i="1" s="1"/>
  <c r="G182" i="1" s="1"/>
  <c r="G183" i="1" s="1"/>
  <c r="G184" i="1" s="1"/>
  <c r="G185" i="1" s="1"/>
  <c r="G186" i="1" s="1"/>
  <c r="G187" i="1" s="1"/>
  <c r="G188" i="1" s="1"/>
  <c r="G189" i="1" s="1"/>
  <c r="G190" i="1" s="1"/>
  <c r="G191" i="1" s="1"/>
  <c r="G192" i="1" s="1"/>
  <c r="G193" i="1" s="1"/>
  <c r="G194" i="1" s="1"/>
  <c r="G195" i="1" s="1"/>
  <c r="G196" i="1" s="1"/>
  <c r="G197" i="1" s="1"/>
  <c r="G198" i="1" s="1"/>
  <c r="G199" i="1" s="1"/>
  <c r="G200" i="1" s="1"/>
  <c r="G201" i="1" s="1"/>
  <c r="G202" i="1" s="1"/>
  <c r="G203" i="1" s="1"/>
  <c r="G204" i="1" s="1"/>
  <c r="G205" i="1" s="1"/>
  <c r="G206" i="1" s="1"/>
  <c r="G207" i="1" s="1"/>
  <c r="G208" i="1" s="1"/>
  <c r="G209" i="1" s="1"/>
  <c r="G210" i="1" s="1"/>
  <c r="G211" i="1" s="1"/>
  <c r="G212" i="1" s="1"/>
  <c r="G213" i="1" s="1"/>
  <c r="G214" i="1" s="1"/>
  <c r="G215" i="1" s="1"/>
  <c r="G216" i="1" s="1"/>
  <c r="G217" i="1" s="1"/>
  <c r="G218" i="1" s="1"/>
  <c r="G219" i="1" s="1"/>
  <c r="G220" i="1" s="1"/>
  <c r="G221" i="1" s="1"/>
  <c r="G222" i="1" s="1"/>
  <c r="G223" i="1" s="1"/>
  <c r="G224" i="1" s="1"/>
  <c r="G225" i="1" s="1"/>
  <c r="G226" i="1" s="1"/>
  <c r="G227" i="1" s="1"/>
  <c r="G228" i="1" s="1"/>
  <c r="G229" i="1" s="1"/>
  <c r="G230" i="1" s="1"/>
  <c r="G231" i="1" s="1"/>
  <c r="G232" i="1" s="1"/>
  <c r="G233" i="1" s="1"/>
  <c r="G234" i="1" s="1"/>
  <c r="G235" i="1" s="1"/>
  <c r="G236" i="1" s="1"/>
  <c r="G237" i="1" s="1"/>
  <c r="G238" i="1" s="1"/>
  <c r="G239" i="1" s="1"/>
  <c r="G240" i="1" s="1"/>
  <c r="G241" i="1" s="1"/>
  <c r="G242" i="1" s="1"/>
  <c r="G243" i="1" s="1"/>
  <c r="G244" i="1" s="1"/>
  <c r="G245" i="1" s="1"/>
  <c r="G246" i="1" s="1"/>
  <c r="G247" i="1" s="1"/>
  <c r="G248" i="1" s="1"/>
  <c r="G249" i="1" s="1"/>
  <c r="G250" i="1" s="1"/>
  <c r="G251" i="1" s="1"/>
</calcChain>
</file>

<file path=xl/sharedStrings.xml><?xml version="1.0" encoding="utf-8"?>
<sst xmlns="http://schemas.openxmlformats.org/spreadsheetml/2006/main" count="760" uniqueCount="116">
  <si>
    <r>
      <rPr>
        <b/>
        <sz val="8"/>
        <color rgb="FFFFFFFF"/>
        <rFont val="Arial"/>
        <family val="2"/>
      </rPr>
      <t>Referencia</t>
    </r>
  </si>
  <si>
    <r>
      <rPr>
        <b/>
        <sz val="8"/>
        <color rgb="FFFFFFFF"/>
        <rFont val="Arial"/>
        <family val="2"/>
      </rPr>
      <t>Descripción</t>
    </r>
  </si>
  <si>
    <r>
      <rPr>
        <b/>
        <sz val="8"/>
        <color rgb="FFFFFFFF"/>
        <rFont val="Arial"/>
        <family val="2"/>
      </rPr>
      <t>Fecha</t>
    </r>
  </si>
  <si>
    <r>
      <rPr>
        <b/>
        <sz val="8"/>
        <color rgb="FFFFFFFF"/>
        <rFont val="Arial"/>
        <family val="2"/>
      </rPr>
      <t>Mov</t>
    </r>
  </si>
  <si>
    <r>
      <rPr>
        <b/>
        <sz val="8"/>
        <color rgb="FFFFFFFF"/>
        <rFont val="Arial"/>
        <family val="2"/>
      </rPr>
      <t>Débito</t>
    </r>
  </si>
  <si>
    <r>
      <rPr>
        <b/>
        <sz val="8"/>
        <color rgb="FFFFFFFF"/>
        <rFont val="Arial"/>
        <family val="2"/>
      </rPr>
      <t>Crédito</t>
    </r>
  </si>
  <si>
    <r>
      <rPr>
        <b/>
        <sz val="8"/>
        <color rgb="FFFFFFFF"/>
        <rFont val="Arial"/>
        <family val="2"/>
      </rPr>
      <t>Saldo</t>
    </r>
  </si>
  <si>
    <r>
      <rPr>
        <sz val="8"/>
        <color rgb="FF505050"/>
        <rFont val="Arial"/>
        <family val="2"/>
      </rPr>
      <t>SALDO INICIAL</t>
    </r>
  </si>
  <si>
    <r>
      <rPr>
        <sz val="8"/>
        <color rgb="FF505050"/>
        <rFont val="Arial"/>
        <family val="2"/>
      </rPr>
      <t>SI</t>
    </r>
  </si>
  <si>
    <r>
      <rPr>
        <sz val="8"/>
        <color rgb="FF505050"/>
        <rFont val="Arial"/>
        <family val="2"/>
      </rPr>
      <t>COM MANTENIMIENTO DE CUENTA</t>
    </r>
  </si>
  <si>
    <r>
      <rPr>
        <sz val="8"/>
        <color rgb="FF505050"/>
        <rFont val="Arial"/>
        <family val="2"/>
      </rPr>
      <t>ND</t>
    </r>
  </si>
  <si>
    <r>
      <rPr>
        <sz val="8"/>
        <color rgb="FF505050"/>
        <rFont val="Arial"/>
        <family val="2"/>
      </rPr>
      <t>PAGOMOVIL OTROS BANCOS 0105 04243252293</t>
    </r>
  </si>
  <si>
    <r>
      <rPr>
        <sz val="8"/>
        <color rgb="FF505050"/>
        <rFont val="Arial"/>
        <family val="2"/>
      </rPr>
      <t>NC</t>
    </r>
  </si>
  <si>
    <r>
      <rPr>
        <sz val="8"/>
        <color rgb="FF505050"/>
        <rFont val="Arial"/>
        <family val="2"/>
      </rPr>
      <t>COMISION PAGOMOVILBDV</t>
    </r>
  </si>
  <si>
    <r>
      <rPr>
        <sz val="8"/>
        <color rgb="FF505050"/>
        <rFont val="Arial"/>
        <family val="2"/>
      </rPr>
      <t>PAGOMOVIL BDV V028023800 FRANCISCO MADRIZ</t>
    </r>
  </si>
  <si>
    <r>
      <rPr>
        <sz val="8"/>
        <color rgb="FF505050"/>
        <rFont val="Arial"/>
        <family val="2"/>
      </rPr>
      <t>COBRO COMISION PAG MOVIL BDV A</t>
    </r>
  </si>
  <si>
    <r>
      <rPr>
        <sz val="8"/>
        <color rgb="FF505050"/>
        <rFont val="Arial"/>
        <family val="2"/>
      </rPr>
      <t>COMISION PAGO A PROVEEDORES</t>
    </r>
  </si>
  <si>
    <r>
      <rPr>
        <sz val="8"/>
        <color rgb="FF505050"/>
        <rFont val="Arial"/>
        <family val="2"/>
      </rPr>
      <t>PAGOMOVIL OTROS BANCOS 0191 04141500569</t>
    </r>
  </si>
  <si>
    <r>
      <rPr>
        <sz val="8"/>
        <color rgb="FF505050"/>
        <rFont val="Arial"/>
        <family val="2"/>
      </rPr>
      <t>PAGOMOVIL BDV V022764031 JONATHAN APONTE</t>
    </r>
  </si>
  <si>
    <t>COBRO COMISION PAG MOVIL BDV A</t>
  </si>
  <si>
    <t>ND</t>
  </si>
  <si>
    <t>PAGOMOVIL BDV V022764031 JONATHAN APONTE</t>
  </si>
  <si>
    <t>NC</t>
  </si>
  <si>
    <t>PAGOMOVIL OTROS BANCOS 0134 04142254712</t>
  </si>
  <si>
    <t>COMISION PAGOMOVILBDV</t>
  </si>
  <si>
    <t>PAGOMOVIL OTROS BANCOS 0191 04141500569</t>
  </si>
  <si>
    <t>PAGOMOVIL OTROS BANCOS 0105 04243252293</t>
  </si>
  <si>
    <t>PAGOMOVIL BDV V028023800 FRANCISCO MADRIZ</t>
  </si>
  <si>
    <r>
      <rPr>
        <sz val="8"/>
        <color rgb="FF505050"/>
        <rFont val="Arial"/>
        <family val="2"/>
      </rPr>
      <t>PAGO A OTROS BANCOS 0134 V12419427</t>
    </r>
  </si>
  <si>
    <r>
      <rPr>
        <sz val="8"/>
        <color rgb="FF505050"/>
        <rFont val="Arial"/>
        <family val="2"/>
      </rPr>
      <t>COM PAGO OTR BCOS JUR NAT</t>
    </r>
  </si>
  <si>
    <r>
      <rPr>
        <sz val="8"/>
        <color rgb="FF505050"/>
        <rFont val="Arial"/>
        <family val="2"/>
      </rPr>
      <t>PAGOMOVIL OTROS BANCOS 0134 04142254712</t>
    </r>
  </si>
  <si>
    <r>
      <rPr>
        <sz val="8"/>
        <color rgb="FF505050"/>
        <rFont val="Arial"/>
        <family val="2"/>
      </rPr>
      <t>PAGO A OTROS BANCOS 0134 V20116183</t>
    </r>
  </si>
  <si>
    <r>
      <rPr>
        <sz val="8"/>
        <color rgb="FF505050"/>
        <rFont val="Arial"/>
        <family val="2"/>
      </rPr>
      <t>PAGO A PROVEEDORES BDV 022770786 LOTE 00443961</t>
    </r>
  </si>
  <si>
    <r>
      <rPr>
        <sz val="8"/>
        <color rgb="FF505050"/>
        <rFont val="Arial"/>
        <family val="2"/>
      </rPr>
      <t>PAGO A PROVEEDORES BDV 023807573 LOTE 00444652</t>
    </r>
  </si>
  <si>
    <r>
      <rPr>
        <sz val="8"/>
        <color rgb="FF505050"/>
        <rFont val="Arial"/>
        <family val="2"/>
      </rPr>
      <t>PAGO A OTROS BANCOS 0134 V32554156</t>
    </r>
  </si>
  <si>
    <r>
      <rPr>
        <sz val="8"/>
        <color rgb="FF505050"/>
        <rFont val="Arial"/>
        <family val="2"/>
      </rPr>
      <t>PAGO A OTROS BANCOS 0134 J622884</t>
    </r>
  </si>
  <si>
    <r>
      <rPr>
        <sz val="8"/>
        <color rgb="FF505050"/>
        <rFont val="Arial"/>
        <family val="2"/>
      </rPr>
      <t>COM PAGO OTR BCOS JUR JUR</t>
    </r>
  </si>
  <si>
    <r>
      <rPr>
        <sz val="8"/>
        <color rgb="FF505050"/>
        <rFont val="Arial"/>
        <family val="2"/>
      </rPr>
      <t>PAGO A PROVEEDORES BDV 023807573 LOTE 00447626</t>
    </r>
  </si>
  <si>
    <r>
      <rPr>
        <sz val="8"/>
        <color rgb="FF505050"/>
        <rFont val="Arial"/>
        <family val="2"/>
      </rPr>
      <t>PAGO A OTROS BANCOS 0134 J500732023</t>
    </r>
  </si>
  <si>
    <r>
      <rPr>
        <sz val="8"/>
        <color rgb="FF505050"/>
        <rFont val="Arial"/>
        <family val="2"/>
      </rPr>
      <t>PAGO A PROVEEDORES BDV 023807573 LOTE 00448581</t>
    </r>
  </si>
  <si>
    <r>
      <rPr>
        <sz val="8"/>
        <color rgb="FF505050"/>
        <rFont val="Arial"/>
        <family val="2"/>
      </rPr>
      <t>PAGO A OTROS BANCOS 0105 V4167234</t>
    </r>
  </si>
  <si>
    <r>
      <rPr>
        <sz val="8"/>
        <color rgb="FF505050"/>
        <rFont val="Arial"/>
        <family val="2"/>
      </rPr>
      <t>PAGO IMPUESTOS INTERNET</t>
    </r>
  </si>
  <si>
    <r>
      <rPr>
        <sz val="8"/>
        <color rgb="FF505050"/>
        <rFont val="Arial"/>
        <family val="2"/>
      </rPr>
      <t>PAGO A PROVEEDORES BDV 022770786 LOTE 00449589</t>
    </r>
  </si>
  <si>
    <r>
      <rPr>
        <sz val="8"/>
        <color rgb="FF505050"/>
        <rFont val="Arial"/>
        <family val="2"/>
      </rPr>
      <t>PAGO A OTROS BANCOS 0134 V9935208</t>
    </r>
  </si>
  <si>
    <r>
      <rPr>
        <sz val="8"/>
        <color rgb="FF505050"/>
        <rFont val="Arial"/>
        <family val="2"/>
      </rPr>
      <t>PAGO A PROVEEDORES BDV 023807573 LOTE 00451193</t>
    </r>
  </si>
  <si>
    <r>
      <rPr>
        <sz val="8"/>
        <color rgb="FF505050"/>
        <rFont val="Arial"/>
        <family val="2"/>
      </rPr>
      <t>PAGO A OTROS BANCOS 0115 V14989945</t>
    </r>
  </si>
  <si>
    <r>
      <rPr>
        <sz val="8"/>
        <color rgb="FF505050"/>
        <rFont val="Arial"/>
        <family val="2"/>
      </rPr>
      <t>PAGOMOVIL OTROS BANCOS 0108 04241020722</t>
    </r>
  </si>
  <si>
    <r>
      <rPr>
        <sz val="8"/>
        <color rgb="FF505050"/>
        <rFont val="Arial"/>
        <family val="2"/>
      </rPr>
      <t>PAGOMOVIL OTROS BANCOS 0134 04120301787</t>
    </r>
  </si>
  <si>
    <r>
      <rPr>
        <sz val="8"/>
        <color rgb="FF505050"/>
        <rFont val="Arial"/>
        <family val="2"/>
      </rPr>
      <t>PAGOMOVIL OTROS BANCOS 0191</t>
    </r>
  </si>
  <si>
    <t>Hernan Prdeanes</t>
  </si>
  <si>
    <t>Choferes</t>
  </si>
  <si>
    <t>Eduardo Dos Santos</t>
  </si>
  <si>
    <t>Fracisico mardriz</t>
  </si>
  <si>
    <t>Jose Bravo</t>
  </si>
  <si>
    <t>Jonathan Aponte</t>
  </si>
  <si>
    <t xml:space="preserve"> </t>
  </si>
  <si>
    <t>GABBRIA JOEL RODIRGUEZ</t>
  </si>
  <si>
    <t>PAGOS</t>
  </si>
  <si>
    <t>CTA PERSNAL</t>
  </si>
  <si>
    <t>MULTISERVICIOS C.J.P.J.D 2025, C.A.</t>
  </si>
  <si>
    <t>CTAPAGAR PROVEEDROES</t>
  </si>
  <si>
    <t>CAUCHO STADIUM</t>
  </si>
  <si>
    <t>DOBLE INTOCABLES</t>
  </si>
  <si>
    <t>Doble intocable</t>
  </si>
  <si>
    <t>fact 2029</t>
  </si>
  <si>
    <t>JORGE GONZLES FACT 000158 PEZCUSE</t>
  </si>
  <si>
    <t>REIKO IMPPORT, C.A FACT002284</t>
  </si>
  <si>
    <t>DPP ABRIL 2026</t>
  </si>
  <si>
    <t>JEAN MARCO ARROYO</t>
  </si>
  <si>
    <t>HNORRIOS CONTABLE</t>
  </si>
  <si>
    <t>SANDRA ARROYO</t>
  </si>
  <si>
    <t>REPUESTOS YOGERES 06, C.A.</t>
  </si>
  <si>
    <t>PAGO A OTROS BANCOS 0134 J2702079</t>
  </si>
  <si>
    <t>PAGO A PROVEEDORES BDV 021622306 LOTE 00448593</t>
  </si>
  <si>
    <t>PAGO A OTROS BANCOS 0134 V25795112</t>
  </si>
  <si>
    <t>PAGO A PROVEEDORES BDV 017425187 LOTE 00444767</t>
  </si>
  <si>
    <t>PAGO A PROVEEDORES BDV 017425187 LOTE 00448584</t>
  </si>
  <si>
    <t>PAGO A OTROS BANCOS 0191 V22290778</t>
  </si>
  <si>
    <t>ACEITES BREADY MARTINEZ PARA JUNIO</t>
  </si>
  <si>
    <t>RECONSTRUCCION DE GOMAS</t>
  </si>
  <si>
    <t>CAUCHERA STADIUM</t>
  </si>
  <si>
    <t>ARTILITI TALANORAIO DE FACURA</t>
  </si>
  <si>
    <t>GABRIEL BATERIA CASHEA AGRO RUEDAS CHACAO</t>
  </si>
  <si>
    <t>JEAN MARCO ARROYO CASHEA</t>
  </si>
  <si>
    <t>PAGO A PROVEEDORES BDV 014744149  LOTE 00441302</t>
  </si>
  <si>
    <t>PAGO A PROVEEDORES BDV 014744149 LOTE 00442540</t>
  </si>
  <si>
    <t>PAGO A PROVEEDORES BDV 014744149 LOTE 00443784</t>
  </si>
  <si>
    <t>PAGO A PROVEEDORES BDV 014744149 LOTE 00444067</t>
  </si>
  <si>
    <t>PAGO A PROVEEDORES BDV 014744149 LOTE 00446147</t>
  </si>
  <si>
    <t>PAGO A PROVEEDORES BDV 014744149 LOTE 00451764</t>
  </si>
  <si>
    <t>PAGO A PROVEEDORES BDV 014744149 LOTE 00452429</t>
  </si>
  <si>
    <t>Referencia</t>
  </si>
  <si>
    <t>Descripción</t>
  </si>
  <si>
    <t>Fecha</t>
  </si>
  <si>
    <t>Débito</t>
  </si>
  <si>
    <t>PAGO A OTROS BANCOS 0134 V12419427</t>
  </si>
  <si>
    <t>PAGO A OTROS BANCOS 0134 V20116183</t>
  </si>
  <si>
    <t>PAGO A PROVEEDORES BDV 022770786 LOTE 00443961</t>
  </si>
  <si>
    <t>PAGO A PROVEEDORES BDV 023807573 LOTE 00444652</t>
  </si>
  <si>
    <t>PAGO A OTROS BANCOS 0134 V32554156</t>
  </si>
  <si>
    <t>PAGO A OTROS BANCOS 0134 J622884</t>
  </si>
  <si>
    <t>PAGO A PROVEEDORES BDV 023807573 LOTE 00447626</t>
  </si>
  <si>
    <t>PAGO A OTROS BANCOS 0134 J500732023</t>
  </si>
  <si>
    <t>PAGO A PROVEEDORES BDV 023807573 LOTE 00448581</t>
  </si>
  <si>
    <t>PAGO A OTROS BANCOS 0105 V4167234</t>
  </si>
  <si>
    <t>PAGO IMPUESTOS INTERNET</t>
  </si>
  <si>
    <t>PAGO A PROVEEDORES BDV 022770786 LOTE 00449589</t>
  </si>
  <si>
    <t>PAGO A OTROS BANCOS 0134 V9935208</t>
  </si>
  <si>
    <t>PAGO A PROVEEDORES BDV 023807573 LOTE 00451193</t>
  </si>
  <si>
    <t>PAGO A OTROS BANCOS 0115 V14989945</t>
  </si>
  <si>
    <t>1.1.1.02.001</t>
  </si>
  <si>
    <t>Banco de Venezuela</t>
  </si>
  <si>
    <t>T</t>
  </si>
  <si>
    <t>U</t>
  </si>
  <si>
    <t>P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</si>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</sst>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dd/mm/yyyy;@"/>
    <numFmt numFmtId="165" formatCode="0000000000000"/>
    <numFmt numFmtId="166" formatCode="0000"/>
    <numFmt numFmtId="167" formatCode="0000000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name val="Arial"/>
      <family val="2"/>
    </font>
    <font>
      <b/>
      <sz val="8"/>
      <color rgb="FFFFFFFF"/>
      <name val="Arial"/>
      <family val="2"/>
    </font>
    <font>
      <sz val="8"/>
      <color rgb="FF000000"/>
      <name val="Arial"/>
      <family val="2"/>
    </font>
    <font>
      <sz val="8"/>
      <name val="Arial"/>
      <family val="2"/>
    </font>
    <font>
      <sz val="8"/>
      <color rgb="FF505050"/>
      <name val="Arial"/>
      <family val="2"/>
    </font>
    <font>
      <sz val="8"/>
      <color theme="1"/>
      <name val="Calibri"/>
      <family val="2"/>
      <scheme val="minor"/>
    </font>
    <font>
      <sz val="8"/>
      <color rgb="FFFF0000"/>
      <name val="Arial"/>
      <family val="2"/>
    </font>
    <font>
      <sz val="8"/>
      <color rgb="FF7030A0"/>
      <name val="Arial"/>
      <family val="2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287FBA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F4F4F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0">
    <xf numFmtId="0" fontId="0" fillId="0" borderId="0" xfId="0"/>
    <xf numFmtId="0" fontId="2" fillId="2" borderId="0" xfId="0" applyFont="1" applyFill="1" applyAlignment="1">
      <alignment horizontal="center" vertical="top" wrapText="1"/>
    </xf>
    <xf numFmtId="0" fontId="2" fillId="2" borderId="0" xfId="0" applyFont="1" applyFill="1" applyAlignment="1">
      <alignment horizontal="left" vertical="top" wrapText="1"/>
    </xf>
    <xf numFmtId="0" fontId="2" fillId="2" borderId="0" xfId="0" applyFont="1" applyFill="1" applyAlignment="1">
      <alignment vertical="top" wrapText="1"/>
    </xf>
    <xf numFmtId="0" fontId="4" fillId="3" borderId="0" xfId="0" applyFont="1" applyFill="1" applyAlignment="1">
      <alignment horizontal="left" vertical="top"/>
    </xf>
    <xf numFmtId="164" fontId="6" fillId="3" borderId="0" xfId="0" applyNumberFormat="1" applyFont="1" applyFill="1" applyAlignment="1">
      <alignment horizontal="center" vertical="top" shrinkToFit="1"/>
    </xf>
    <xf numFmtId="0" fontId="5" fillId="4" borderId="0" xfId="0" applyFont="1" applyFill="1" applyAlignment="1">
      <alignment horizontal="center" vertical="top" wrapText="1"/>
    </xf>
    <xf numFmtId="43" fontId="6" fillId="4" borderId="0" xfId="1" applyFont="1" applyFill="1" applyAlignment="1">
      <alignment vertical="top" shrinkToFit="1"/>
    </xf>
    <xf numFmtId="165" fontId="6" fillId="3" borderId="0" xfId="0" applyNumberFormat="1" applyFont="1" applyFill="1" applyAlignment="1">
      <alignment horizontal="center" vertical="top" shrinkToFit="1"/>
    </xf>
    <xf numFmtId="0" fontId="5" fillId="3" borderId="0" xfId="0" applyFont="1" applyFill="1" applyAlignment="1">
      <alignment horizontal="left" vertical="top" wrapText="1"/>
    </xf>
    <xf numFmtId="0" fontId="5" fillId="3" borderId="0" xfId="0" applyFont="1" applyFill="1" applyAlignment="1">
      <alignment horizontal="center" vertical="top" wrapText="1"/>
    </xf>
    <xf numFmtId="43" fontId="4" fillId="3" borderId="0" xfId="1" applyFont="1" applyFill="1" applyBorder="1" applyAlignment="1">
      <alignment vertical="top"/>
    </xf>
    <xf numFmtId="43" fontId="6" fillId="3" borderId="0" xfId="1" applyFont="1" applyFill="1" applyAlignment="1">
      <alignment vertical="top" shrinkToFit="1"/>
    </xf>
    <xf numFmtId="165" fontId="6" fillId="4" borderId="0" xfId="0" applyNumberFormat="1" applyFont="1" applyFill="1" applyAlignment="1">
      <alignment horizontal="center" vertical="top" shrinkToFit="1"/>
    </xf>
    <xf numFmtId="0" fontId="5" fillId="4" borderId="0" xfId="0" applyFont="1" applyFill="1" applyAlignment="1">
      <alignment horizontal="left" vertical="top" wrapText="1"/>
    </xf>
    <xf numFmtId="0" fontId="4" fillId="3" borderId="0" xfId="0" applyFont="1" applyFill="1" applyAlignment="1">
      <alignment vertical="top"/>
    </xf>
    <xf numFmtId="4" fontId="6" fillId="4" borderId="0" xfId="0" applyNumberFormat="1" applyFont="1" applyFill="1" applyAlignment="1">
      <alignment vertical="top" shrinkToFit="1"/>
    </xf>
    <xf numFmtId="43" fontId="4" fillId="3" borderId="0" xfId="1" applyFont="1" applyFill="1" applyBorder="1" applyAlignment="1">
      <alignment horizontal="left" vertical="top"/>
    </xf>
    <xf numFmtId="43" fontId="4" fillId="3" borderId="0" xfId="1" applyFont="1" applyFill="1" applyBorder="1" applyAlignment="1">
      <alignment horizontal="center" vertical="top"/>
    </xf>
    <xf numFmtId="43" fontId="4" fillId="3" borderId="0" xfId="1" applyFont="1" applyFill="1" applyBorder="1" applyAlignment="1">
      <alignment horizontal="right" vertical="top"/>
    </xf>
    <xf numFmtId="165" fontId="6" fillId="4" borderId="0" xfId="0" applyNumberFormat="1" applyFont="1" applyFill="1" applyAlignment="1">
      <alignment horizontal="left" vertical="top" shrinkToFit="1"/>
    </xf>
    <xf numFmtId="0" fontId="4" fillId="3" borderId="0" xfId="0" applyFont="1" applyFill="1" applyAlignment="1">
      <alignment horizontal="center" vertical="top"/>
    </xf>
    <xf numFmtId="43" fontId="4" fillId="3" borderId="0" xfId="1" applyFont="1" applyFill="1" applyAlignment="1">
      <alignment vertical="top"/>
    </xf>
    <xf numFmtId="43" fontId="4" fillId="5" borderId="0" xfId="1" applyFont="1" applyFill="1" applyBorder="1" applyAlignment="1">
      <alignment horizontal="right" vertical="top"/>
    </xf>
    <xf numFmtId="43" fontId="4" fillId="3" borderId="0" xfId="0" applyNumberFormat="1" applyFont="1" applyFill="1" applyAlignment="1">
      <alignment horizontal="left" vertical="top"/>
    </xf>
    <xf numFmtId="43" fontId="4" fillId="3" borderId="0" xfId="1" applyFont="1" applyFill="1" applyAlignment="1">
      <alignment horizontal="left" vertical="top"/>
    </xf>
    <xf numFmtId="166" fontId="7" fillId="0" borderId="0" xfId="0" applyNumberFormat="1" applyFont="1"/>
    <xf numFmtId="43" fontId="7" fillId="0" borderId="0" xfId="1" applyFont="1"/>
    <xf numFmtId="0" fontId="7" fillId="0" borderId="0" xfId="0" applyFont="1"/>
    <xf numFmtId="43" fontId="7" fillId="0" borderId="0" xfId="0" applyNumberFormat="1" applyFont="1"/>
    <xf numFmtId="43" fontId="7" fillId="5" borderId="0" xfId="0" applyNumberFormat="1" applyFont="1" applyFill="1"/>
    <xf numFmtId="43" fontId="7" fillId="5" borderId="0" xfId="1" applyFont="1" applyFill="1"/>
    <xf numFmtId="0" fontId="5" fillId="3" borderId="1" xfId="0" applyFont="1" applyFill="1" applyBorder="1"/>
    <xf numFmtId="167" fontId="5" fillId="3" borderId="1" xfId="0" applyNumberFormat="1" applyFont="1" applyFill="1" applyBorder="1" applyAlignment="1">
      <alignment horizontal="right"/>
    </xf>
    <xf numFmtId="165" fontId="8" fillId="6" borderId="0" xfId="0" applyNumberFormat="1" applyFont="1" applyFill="1" applyAlignment="1">
      <alignment horizontal="center" vertical="top" shrinkToFit="1"/>
    </xf>
    <xf numFmtId="0" fontId="8" fillId="6" borderId="0" xfId="0" applyFont="1" applyFill="1" applyAlignment="1">
      <alignment horizontal="left" vertical="top" wrapText="1"/>
    </xf>
    <xf numFmtId="164" fontId="8" fillId="6" borderId="0" xfId="0" applyNumberFormat="1" applyFont="1" applyFill="1" applyAlignment="1">
      <alignment horizontal="center" vertical="top" shrinkToFit="1"/>
    </xf>
    <xf numFmtId="43" fontId="8" fillId="6" borderId="0" xfId="1" applyFont="1" applyFill="1" applyBorder="1" applyAlignment="1">
      <alignment horizontal="right" vertical="top"/>
    </xf>
    <xf numFmtId="43" fontId="8" fillId="6" borderId="0" xfId="1" applyFont="1" applyFill="1" applyAlignment="1">
      <alignment vertical="top" shrinkToFit="1"/>
    </xf>
    <xf numFmtId="0" fontId="8" fillId="6" borderId="0" xfId="0" applyFont="1" applyFill="1" applyAlignment="1">
      <alignment horizontal="left" vertical="top"/>
    </xf>
    <xf numFmtId="0" fontId="4" fillId="7" borderId="0" xfId="0" applyFont="1" applyFill="1" applyAlignment="1">
      <alignment horizontal="left" vertical="top"/>
    </xf>
    <xf numFmtId="0" fontId="5" fillId="4" borderId="0" xfId="0" applyFont="1" applyFill="1" applyAlignment="1">
      <alignment horizontal="left" vertical="top" wrapText="1" indent="11"/>
    </xf>
    <xf numFmtId="43" fontId="9" fillId="3" borderId="0" xfId="1" applyFont="1" applyFill="1" applyBorder="1" applyAlignment="1">
      <alignment vertical="top"/>
    </xf>
    <xf numFmtId="43" fontId="9" fillId="3" borderId="0" xfId="1" applyFont="1" applyFill="1" applyBorder="1" applyAlignment="1">
      <alignment horizontal="right" vertical="top"/>
    </xf>
    <xf numFmtId="165" fontId="9" fillId="4" borderId="0" xfId="0" applyNumberFormat="1" applyFont="1" applyFill="1" applyAlignment="1">
      <alignment horizontal="center" vertical="top" shrinkToFit="1"/>
    </xf>
    <xf numFmtId="0" fontId="9" fillId="4" borderId="0" xfId="0" applyFont="1" applyFill="1" applyAlignment="1">
      <alignment horizontal="left" vertical="top" wrapText="1"/>
    </xf>
    <xf numFmtId="164" fontId="9" fillId="3" borderId="0" xfId="0" applyNumberFormat="1" applyFont="1" applyFill="1" applyAlignment="1">
      <alignment horizontal="center" vertical="top" shrinkToFit="1"/>
    </xf>
    <xf numFmtId="0" fontId="9" fillId="4" borderId="0" xfId="0" applyFont="1" applyFill="1" applyAlignment="1">
      <alignment horizontal="center" vertical="top" wrapText="1"/>
    </xf>
    <xf numFmtId="43" fontId="9" fillId="4" borderId="0" xfId="1" applyFont="1" applyFill="1" applyAlignment="1">
      <alignment vertical="top" shrinkToFit="1"/>
    </xf>
    <xf numFmtId="43" fontId="9" fillId="3" borderId="0" xfId="1" applyFont="1" applyFill="1" applyAlignment="1">
      <alignment vertical="top" shrinkToFit="1"/>
    </xf>
    <xf numFmtId="0" fontId="9" fillId="3" borderId="0" xfId="0" applyFont="1" applyFill="1" applyAlignment="1">
      <alignment horizontal="left" vertical="top"/>
    </xf>
    <xf numFmtId="165" fontId="9" fillId="3" borderId="0" xfId="0" applyNumberFormat="1" applyFont="1" applyFill="1" applyAlignment="1">
      <alignment horizontal="center" vertical="top" shrinkToFit="1"/>
    </xf>
    <xf numFmtId="0" fontId="9" fillId="3" borderId="0" xfId="0" applyFont="1" applyFill="1" applyAlignment="1">
      <alignment horizontal="left" vertical="top" wrapText="1"/>
    </xf>
    <xf numFmtId="0" fontId="2" fillId="8" borderId="0" xfId="0" applyFont="1" applyFill="1" applyBorder="1" applyAlignment="1">
      <alignment horizontal="center" vertical="top" wrapText="1"/>
    </xf>
    <xf numFmtId="0" fontId="2" fillId="8" borderId="0" xfId="0" applyFont="1" applyFill="1" applyBorder="1" applyAlignment="1">
      <alignment horizontal="left" vertical="top" wrapText="1"/>
    </xf>
    <xf numFmtId="0" fontId="2" fillId="8" borderId="0" xfId="0" applyFont="1" applyFill="1" applyBorder="1" applyAlignment="1">
      <alignment vertical="top" wrapText="1"/>
    </xf>
    <xf numFmtId="0" fontId="10" fillId="8" borderId="0" xfId="0" applyFont="1" applyFill="1" applyBorder="1"/>
    <xf numFmtId="43" fontId="5" fillId="8" borderId="0" xfId="1" applyFont="1" applyFill="1" applyBorder="1" applyAlignment="1">
      <alignment horizontal="right" vertical="top"/>
    </xf>
    <xf numFmtId="0" fontId="5" fillId="6" borderId="0" xfId="0" applyFont="1" applyFill="1" applyBorder="1" applyAlignment="1">
      <alignment horizontal="left" vertical="top" wrapText="1"/>
    </xf>
    <xf numFmtId="164" fontId="5" fillId="6" borderId="0" xfId="0" applyNumberFormat="1" applyFont="1" applyFill="1" applyBorder="1" applyAlignment="1">
      <alignment horizontal="center" vertical="top" shrinkToFit="1"/>
    </xf>
    <xf numFmtId="165" fontId="5" fillId="6" borderId="0" xfId="0" applyNumberFormat="1" applyFont="1" applyFill="1" applyBorder="1" applyAlignment="1">
      <alignment horizontal="center" vertical="top" shrinkToFit="1"/>
    </xf>
    <xf numFmtId="43" fontId="5" fillId="6" borderId="0" xfId="1" applyFont="1" applyFill="1" applyBorder="1" applyAlignment="1">
      <alignment horizontal="right" vertical="top"/>
    </xf>
    <xf numFmtId="0" fontId="5" fillId="6" borderId="0" xfId="0" applyFont="1" applyFill="1" applyBorder="1" applyAlignment="1">
      <alignment horizontal="left" vertical="top"/>
    </xf>
    <xf numFmtId="0" fontId="5" fillId="6" borderId="0" xfId="0" applyFont="1" applyFill="1" applyAlignment="1">
      <alignment horizontal="center"/>
    </xf>
    <xf numFmtId="0" fontId="5" fillId="6" borderId="0" xfId="0" applyFont="1" applyFill="1"/>
    <xf numFmtId="0" fontId="5" fillId="6" borderId="0" xfId="0" applyFont="1" applyFill="1" applyBorder="1"/>
    <xf numFmtId="165" fontId="5" fillId="8" borderId="0" xfId="0" applyNumberFormat="1" applyFont="1" applyFill="1"/>
    <xf numFmtId="43" fontId="5" fillId="8" borderId="0" xfId="1" applyFont="1" applyFill="1"/>
    <xf numFmtId="165" fontId="5" fillId="8" borderId="0" xfId="0" applyNumberFormat="1" applyFont="1" applyFill="1" applyAlignment="1">
      <alignment horizontal="center" vertical="top" shrinkToFit="1"/>
    </xf>
    <xf numFmtId="43" fontId="5" fillId="8" borderId="0" xfId="1" applyFont="1" applyFill="1" applyBorder="1" applyAlignment="1">
      <alignment vertic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01CCD-1FCE-4E4B-9F9D-EE9E8AC24271}">
  <dimension ref="A1:M251"/>
  <sheetViews>
    <sheetView tabSelected="1" zoomScale="140" zoomScaleNormal="140" workbookViewId="0">
      <selection activeCell="F22" sqref="F22"/>
    </sheetView>
  </sheetViews>
  <sheetFormatPr baseColWidth="10" defaultRowHeight="11.25" x14ac:dyDescent="0.25"/>
  <cols>
    <col min="1" max="1" width="15.7109375" style="21" bestFit="1" customWidth="1"/>
    <col min="2" max="2" width="53.28515625" style="4" customWidth="1"/>
    <col min="3" max="3" width="10.28515625" style="4" bestFit="1" customWidth="1"/>
    <col min="4" max="4" width="4.28515625" style="21" bestFit="1" customWidth="1"/>
    <col min="5" max="5" width="11.42578125" style="15" bestFit="1" customWidth="1"/>
    <col min="6" max="6" width="10.85546875" style="15" bestFit="1" customWidth="1"/>
    <col min="7" max="7" width="10.42578125" style="15" bestFit="1" customWidth="1"/>
    <col min="8" max="9" width="11.42578125" style="4"/>
    <col min="10" max="10" width="10.42578125" style="4" bestFit="1" customWidth="1"/>
    <col min="11" max="16384" width="11.42578125" style="4"/>
  </cols>
  <sheetData>
    <row r="1" spans="1:10" x14ac:dyDescent="0.25">
      <c r="E1" s="22">
        <f>SUBTOTAL(9,E3,E4:E252)</f>
        <v>2211353.02</v>
      </c>
      <c r="F1" s="22">
        <f>SUBTOTAL(9,F3,F4:F252)</f>
        <v>3003109.3600000008</v>
      </c>
    </row>
    <row r="2" spans="1:10" ht="9" customHeight="1" x14ac:dyDescent="0.25">
      <c r="A2" s="1" t="s">
        <v>0</v>
      </c>
      <c r="B2" s="2" t="s">
        <v>1</v>
      </c>
      <c r="C2" s="3" t="s">
        <v>2</v>
      </c>
      <c r="D2" s="1" t="s">
        <v>3</v>
      </c>
      <c r="E2" s="3" t="s">
        <v>4</v>
      </c>
      <c r="F2" s="3" t="s">
        <v>5</v>
      </c>
      <c r="G2" s="3" t="s">
        <v>6</v>
      </c>
      <c r="H2" s="3" t="s">
        <v>50</v>
      </c>
      <c r="I2" s="3" t="s">
        <v>57</v>
      </c>
    </row>
    <row r="3" spans="1:10" ht="9" customHeight="1" x14ac:dyDescent="0.25">
      <c r="A3" s="41" t="s">
        <v>7</v>
      </c>
      <c r="B3" s="41"/>
      <c r="C3" s="5">
        <v>46143</v>
      </c>
      <c r="D3" s="6" t="s">
        <v>8</v>
      </c>
      <c r="E3" s="7">
        <v>0</v>
      </c>
      <c r="F3" s="7">
        <v>0</v>
      </c>
      <c r="G3" s="7">
        <v>705835.75</v>
      </c>
    </row>
    <row r="4" spans="1:10" ht="9" customHeight="1" x14ac:dyDescent="0.25">
      <c r="A4" s="8">
        <v>120200001647</v>
      </c>
      <c r="B4" s="9" t="s">
        <v>9</v>
      </c>
      <c r="C4" s="5">
        <v>46143</v>
      </c>
      <c r="D4" s="10" t="s">
        <v>10</v>
      </c>
      <c r="E4" s="11">
        <v>8</v>
      </c>
      <c r="F4" s="12">
        <v>0</v>
      </c>
      <c r="G4" s="12">
        <f>G3-E4+F4</f>
        <v>705827.75</v>
      </c>
    </row>
    <row r="5" spans="1:10" ht="9" customHeight="1" x14ac:dyDescent="0.25">
      <c r="A5" s="13">
        <v>50955193916</v>
      </c>
      <c r="B5" s="14" t="s">
        <v>11</v>
      </c>
      <c r="C5" s="5">
        <v>46143</v>
      </c>
      <c r="D5" s="6" t="s">
        <v>12</v>
      </c>
      <c r="E5" s="11">
        <v>0</v>
      </c>
      <c r="F5" s="7">
        <v>24450</v>
      </c>
      <c r="G5" s="12">
        <f t="shared" ref="G5:G68" si="0">G4-E5+F5</f>
        <v>730277.75</v>
      </c>
      <c r="H5" s="4" t="s">
        <v>49</v>
      </c>
    </row>
    <row r="6" spans="1:10" ht="9" customHeight="1" x14ac:dyDescent="0.25">
      <c r="A6" s="8">
        <v>27255193916</v>
      </c>
      <c r="B6" s="9" t="s">
        <v>13</v>
      </c>
      <c r="C6" s="5">
        <v>46143</v>
      </c>
      <c r="D6" s="10" t="s">
        <v>10</v>
      </c>
      <c r="E6" s="11">
        <v>366.75</v>
      </c>
      <c r="F6" s="12">
        <v>0</v>
      </c>
      <c r="G6" s="12">
        <f t="shared" si="0"/>
        <v>729911</v>
      </c>
    </row>
    <row r="7" spans="1:10" ht="9" customHeight="1" x14ac:dyDescent="0.25">
      <c r="A7" s="13">
        <v>677254358753</v>
      </c>
      <c r="B7" s="14" t="s">
        <v>14</v>
      </c>
      <c r="C7" s="5">
        <v>46143</v>
      </c>
      <c r="D7" s="6" t="s">
        <v>12</v>
      </c>
      <c r="E7" s="11">
        <v>0</v>
      </c>
      <c r="F7" s="7">
        <v>14614</v>
      </c>
      <c r="G7" s="12">
        <f t="shared" si="0"/>
        <v>744525</v>
      </c>
      <c r="H7" s="4" t="s">
        <v>52</v>
      </c>
    </row>
    <row r="8" spans="1:10" ht="9" customHeight="1" x14ac:dyDescent="0.25">
      <c r="A8" s="8">
        <v>210054358753</v>
      </c>
      <c r="B8" s="9" t="s">
        <v>15</v>
      </c>
      <c r="C8" s="5">
        <v>46143</v>
      </c>
      <c r="D8" s="10" t="s">
        <v>10</v>
      </c>
      <c r="E8" s="11">
        <v>219.21</v>
      </c>
      <c r="F8" s="12">
        <v>0</v>
      </c>
      <c r="G8" s="12">
        <f t="shared" si="0"/>
        <v>744305.79</v>
      </c>
    </row>
    <row r="9" spans="1:10" ht="9" customHeight="1" x14ac:dyDescent="0.25">
      <c r="A9" s="44">
        <v>329287696499</v>
      </c>
      <c r="B9" s="45" t="s">
        <v>84</v>
      </c>
      <c r="C9" s="46">
        <v>46144</v>
      </c>
      <c r="D9" s="47" t="s">
        <v>20</v>
      </c>
      <c r="E9" s="42">
        <v>300000</v>
      </c>
      <c r="F9" s="48">
        <v>0</v>
      </c>
      <c r="G9" s="49">
        <f t="shared" si="0"/>
        <v>444305.79000000004</v>
      </c>
      <c r="H9" s="50"/>
      <c r="I9" s="50" t="s">
        <v>83</v>
      </c>
      <c r="J9" s="50"/>
    </row>
    <row r="10" spans="1:10" ht="9" customHeight="1" x14ac:dyDescent="0.25">
      <c r="A10" s="8">
        <v>676287696499</v>
      </c>
      <c r="B10" s="9" t="s">
        <v>16</v>
      </c>
      <c r="C10" s="5">
        <v>46144</v>
      </c>
      <c r="D10" s="10" t="s">
        <v>10</v>
      </c>
      <c r="E10" s="11">
        <v>750</v>
      </c>
      <c r="F10" s="12">
        <v>0</v>
      </c>
      <c r="G10" s="12">
        <f t="shared" si="0"/>
        <v>443555.79000000004</v>
      </c>
    </row>
    <row r="11" spans="1:10" ht="9" customHeight="1" x14ac:dyDescent="0.25">
      <c r="A11" s="13">
        <v>50951614780</v>
      </c>
      <c r="B11" s="14" t="s">
        <v>17</v>
      </c>
      <c r="C11" s="5">
        <v>46144</v>
      </c>
      <c r="D11" s="6" t="s">
        <v>12</v>
      </c>
      <c r="E11" s="11">
        <v>0</v>
      </c>
      <c r="F11" s="7">
        <v>24477.74</v>
      </c>
      <c r="G11" s="12">
        <f t="shared" si="0"/>
        <v>468033.53</v>
      </c>
      <c r="H11" s="4" t="s">
        <v>53</v>
      </c>
    </row>
    <row r="12" spans="1:10" ht="9" customHeight="1" x14ac:dyDescent="0.25">
      <c r="A12" s="8">
        <v>27251614780</v>
      </c>
      <c r="B12" s="9" t="s">
        <v>13</v>
      </c>
      <c r="C12" s="5">
        <v>46144</v>
      </c>
      <c r="D12" s="10" t="s">
        <v>10</v>
      </c>
      <c r="E12" s="11">
        <v>367.17</v>
      </c>
      <c r="F12" s="12">
        <v>0</v>
      </c>
      <c r="G12" s="12">
        <f t="shared" si="0"/>
        <v>467666.36000000004</v>
      </c>
    </row>
    <row r="13" spans="1:10" ht="9" customHeight="1" x14ac:dyDescent="0.25">
      <c r="A13" s="13">
        <v>677258136701</v>
      </c>
      <c r="B13" s="14" t="s">
        <v>14</v>
      </c>
      <c r="C13" s="5">
        <v>46145</v>
      </c>
      <c r="D13" s="6" t="s">
        <v>12</v>
      </c>
      <c r="E13" s="11">
        <v>0</v>
      </c>
      <c r="F13" s="7">
        <v>17050</v>
      </c>
      <c r="G13" s="12">
        <f t="shared" si="0"/>
        <v>484716.36000000004</v>
      </c>
      <c r="H13" s="4" t="s">
        <v>52</v>
      </c>
    </row>
    <row r="14" spans="1:10" ht="9" customHeight="1" x14ac:dyDescent="0.25">
      <c r="A14" s="8">
        <v>210058136701</v>
      </c>
      <c r="B14" s="9" t="s">
        <v>15</v>
      </c>
      <c r="C14" s="5">
        <v>46145</v>
      </c>
      <c r="D14" s="10" t="s">
        <v>10</v>
      </c>
      <c r="E14" s="11">
        <v>255.75</v>
      </c>
      <c r="F14" s="12">
        <v>0</v>
      </c>
      <c r="G14" s="12">
        <f t="shared" si="0"/>
        <v>484460.61000000004</v>
      </c>
    </row>
    <row r="15" spans="1:10" ht="9" customHeight="1" x14ac:dyDescent="0.25">
      <c r="A15" s="13">
        <v>677259019427</v>
      </c>
      <c r="B15" s="14" t="s">
        <v>18</v>
      </c>
      <c r="C15" s="5">
        <v>46145</v>
      </c>
      <c r="D15" s="6" t="s">
        <v>12</v>
      </c>
      <c r="E15" s="11">
        <v>0</v>
      </c>
      <c r="F15" s="16">
        <v>20071.740000000002</v>
      </c>
      <c r="G15" s="12">
        <f t="shared" si="0"/>
        <v>504532.35000000003</v>
      </c>
      <c r="H15" s="4" t="s">
        <v>54</v>
      </c>
    </row>
    <row r="16" spans="1:10" ht="9" customHeight="1" x14ac:dyDescent="0.25">
      <c r="A16" s="8">
        <v>210059019427</v>
      </c>
      <c r="B16" s="9" t="s">
        <v>15</v>
      </c>
      <c r="C16" s="5">
        <v>46145</v>
      </c>
      <c r="D16" s="10" t="s">
        <v>10</v>
      </c>
      <c r="E16" s="11">
        <v>301.08</v>
      </c>
      <c r="F16" s="12">
        <v>0</v>
      </c>
      <c r="G16" s="12">
        <f t="shared" si="0"/>
        <v>504231.27</v>
      </c>
    </row>
    <row r="17" spans="1:8" ht="9" customHeight="1" x14ac:dyDescent="0.25">
      <c r="A17" s="13">
        <v>50955997092</v>
      </c>
      <c r="B17" s="14" t="s">
        <v>11</v>
      </c>
      <c r="C17" s="5">
        <v>46145</v>
      </c>
      <c r="D17" s="6" t="s">
        <v>12</v>
      </c>
      <c r="E17" s="11">
        <v>0</v>
      </c>
      <c r="F17" s="12">
        <v>20071</v>
      </c>
      <c r="G17" s="12">
        <f t="shared" si="0"/>
        <v>524302.27</v>
      </c>
      <c r="H17" s="4" t="s">
        <v>49</v>
      </c>
    </row>
    <row r="18" spans="1:8" ht="9" customHeight="1" x14ac:dyDescent="0.25">
      <c r="A18" s="8">
        <v>27255997092</v>
      </c>
      <c r="B18" s="9" t="s">
        <v>13</v>
      </c>
      <c r="C18" s="5">
        <v>46145</v>
      </c>
      <c r="D18" s="10" t="s">
        <v>10</v>
      </c>
      <c r="E18" s="11">
        <v>301.07</v>
      </c>
      <c r="F18" s="12">
        <v>0</v>
      </c>
      <c r="G18" s="12">
        <f t="shared" si="0"/>
        <v>524001.2</v>
      </c>
    </row>
    <row r="19" spans="1:8" ht="9" customHeight="1" x14ac:dyDescent="0.25">
      <c r="A19" s="13">
        <v>677259660485</v>
      </c>
      <c r="B19" s="14" t="s">
        <v>14</v>
      </c>
      <c r="C19" s="5">
        <v>46145</v>
      </c>
      <c r="D19" s="6" t="s">
        <v>12</v>
      </c>
      <c r="E19" s="11">
        <v>0</v>
      </c>
      <c r="F19" s="12">
        <v>12178</v>
      </c>
      <c r="G19" s="12">
        <f t="shared" si="0"/>
        <v>536179.19999999995</v>
      </c>
      <c r="H19" s="4" t="s">
        <v>52</v>
      </c>
    </row>
    <row r="20" spans="1:8" ht="9" customHeight="1" x14ac:dyDescent="0.25">
      <c r="A20" s="8">
        <v>210059660485</v>
      </c>
      <c r="B20" s="9" t="s">
        <v>15</v>
      </c>
      <c r="C20" s="5">
        <v>46145</v>
      </c>
      <c r="D20" s="10" t="s">
        <v>10</v>
      </c>
      <c r="E20" s="11">
        <v>182.67</v>
      </c>
      <c r="F20" s="12">
        <v>0</v>
      </c>
      <c r="G20" s="12">
        <f t="shared" si="0"/>
        <v>535996.52999999991</v>
      </c>
    </row>
    <row r="21" spans="1:8" ht="9" customHeight="1" x14ac:dyDescent="0.25">
      <c r="A21" s="13">
        <v>50952509535</v>
      </c>
      <c r="B21" s="14" t="s">
        <v>17</v>
      </c>
      <c r="C21" s="5">
        <v>46145</v>
      </c>
      <c r="D21" s="6" t="s">
        <v>12</v>
      </c>
      <c r="E21" s="11">
        <v>0</v>
      </c>
      <c r="F21" s="12">
        <v>34268.83</v>
      </c>
      <c r="G21" s="12">
        <f t="shared" si="0"/>
        <v>570265.35999999987</v>
      </c>
      <c r="H21" s="4" t="s">
        <v>53</v>
      </c>
    </row>
    <row r="22" spans="1:8" ht="9" customHeight="1" x14ac:dyDescent="0.25">
      <c r="A22" s="8">
        <v>27252509535</v>
      </c>
      <c r="B22" s="9" t="s">
        <v>13</v>
      </c>
      <c r="C22" s="5">
        <v>46145</v>
      </c>
      <c r="D22" s="10" t="s">
        <v>10</v>
      </c>
      <c r="E22" s="11">
        <v>514.03</v>
      </c>
      <c r="F22" s="12">
        <v>0</v>
      </c>
      <c r="G22" s="12">
        <f t="shared" si="0"/>
        <v>569751.32999999984</v>
      </c>
    </row>
    <row r="23" spans="1:8" ht="9" customHeight="1" x14ac:dyDescent="0.25">
      <c r="A23" s="13">
        <v>50956107651</v>
      </c>
      <c r="B23" s="14" t="s">
        <v>11</v>
      </c>
      <c r="C23" s="5">
        <v>46146</v>
      </c>
      <c r="D23" s="6" t="s">
        <v>12</v>
      </c>
      <c r="E23" s="11">
        <v>0</v>
      </c>
      <c r="F23" s="12">
        <v>14685</v>
      </c>
      <c r="G23" s="12">
        <f t="shared" si="0"/>
        <v>584436.32999999984</v>
      </c>
      <c r="H23" s="4" t="s">
        <v>49</v>
      </c>
    </row>
    <row r="24" spans="1:8" ht="9" customHeight="1" x14ac:dyDescent="0.25">
      <c r="A24" s="8">
        <v>27256107651</v>
      </c>
      <c r="B24" s="9" t="s">
        <v>13</v>
      </c>
      <c r="C24" s="5">
        <v>46146</v>
      </c>
      <c r="D24" s="10" t="s">
        <v>10</v>
      </c>
      <c r="E24" s="11">
        <v>220.28</v>
      </c>
      <c r="F24" s="12">
        <v>0</v>
      </c>
      <c r="G24" s="12">
        <f t="shared" si="0"/>
        <v>584216.04999999981</v>
      </c>
    </row>
    <row r="25" spans="1:8" ht="9" customHeight="1" x14ac:dyDescent="0.25">
      <c r="A25" s="13">
        <v>50956183773</v>
      </c>
      <c r="B25" s="14" t="s">
        <v>11</v>
      </c>
      <c r="C25" s="5">
        <v>46146</v>
      </c>
      <c r="D25" s="6" t="s">
        <v>12</v>
      </c>
      <c r="E25" s="11">
        <v>0</v>
      </c>
      <c r="F25" s="12">
        <v>14680</v>
      </c>
      <c r="G25" s="12">
        <f t="shared" si="0"/>
        <v>598896.04999999981</v>
      </c>
    </row>
    <row r="26" spans="1:8" ht="9" customHeight="1" x14ac:dyDescent="0.25">
      <c r="A26" s="8">
        <v>27256183773</v>
      </c>
      <c r="B26" s="9" t="s">
        <v>13</v>
      </c>
      <c r="C26" s="5">
        <v>46146</v>
      </c>
      <c r="D26" s="10" t="s">
        <v>10</v>
      </c>
      <c r="E26" s="11">
        <v>220.2</v>
      </c>
      <c r="F26" s="12">
        <v>0</v>
      </c>
      <c r="G26" s="12">
        <f t="shared" si="0"/>
        <v>598675.84999999986</v>
      </c>
    </row>
    <row r="27" spans="1:8" ht="9" customHeight="1" x14ac:dyDescent="0.25">
      <c r="A27" s="13">
        <v>50956185577</v>
      </c>
      <c r="B27" s="14" t="s">
        <v>11</v>
      </c>
      <c r="C27" s="5">
        <v>46146</v>
      </c>
      <c r="D27" s="6" t="s">
        <v>12</v>
      </c>
      <c r="E27" s="11">
        <v>0</v>
      </c>
      <c r="F27" s="12">
        <v>24475</v>
      </c>
      <c r="G27" s="12">
        <f t="shared" si="0"/>
        <v>623150.84999999986</v>
      </c>
    </row>
    <row r="28" spans="1:8" ht="9" customHeight="1" x14ac:dyDescent="0.25">
      <c r="A28" s="8">
        <v>27256185577</v>
      </c>
      <c r="B28" s="9" t="s">
        <v>13</v>
      </c>
      <c r="C28" s="5">
        <v>46146</v>
      </c>
      <c r="D28" s="10" t="s">
        <v>10</v>
      </c>
      <c r="E28" s="11">
        <v>367.13</v>
      </c>
      <c r="F28" s="12">
        <v>0</v>
      </c>
      <c r="G28" s="12">
        <f t="shared" si="0"/>
        <v>622783.71999999986</v>
      </c>
    </row>
    <row r="29" spans="1:8" ht="9" customHeight="1" x14ac:dyDescent="0.25">
      <c r="A29" s="13">
        <v>677260992727</v>
      </c>
      <c r="B29" s="14" t="s">
        <v>14</v>
      </c>
      <c r="C29" s="5">
        <v>46146</v>
      </c>
      <c r="D29" s="6" t="s">
        <v>12</v>
      </c>
      <c r="E29" s="11">
        <v>0</v>
      </c>
      <c r="F29" s="12">
        <v>24478</v>
      </c>
      <c r="G29" s="12">
        <f t="shared" si="0"/>
        <v>647261.71999999986</v>
      </c>
      <c r="H29" s="4" t="s">
        <v>52</v>
      </c>
    </row>
    <row r="30" spans="1:8" ht="9" customHeight="1" x14ac:dyDescent="0.25">
      <c r="A30" s="8">
        <v>210060992727</v>
      </c>
      <c r="B30" s="17" t="s">
        <v>19</v>
      </c>
      <c r="C30" s="5">
        <v>46146</v>
      </c>
      <c r="D30" s="18" t="s">
        <v>20</v>
      </c>
      <c r="E30" s="11">
        <v>367.17</v>
      </c>
      <c r="F30" s="12">
        <v>0</v>
      </c>
      <c r="G30" s="12">
        <f t="shared" si="0"/>
        <v>646894.54999999981</v>
      </c>
    </row>
    <row r="31" spans="1:8" ht="9" customHeight="1" x14ac:dyDescent="0.25">
      <c r="A31" s="8">
        <v>677261631168</v>
      </c>
      <c r="B31" s="17" t="s">
        <v>21</v>
      </c>
      <c r="C31" s="5">
        <v>46146</v>
      </c>
      <c r="D31" s="18" t="s">
        <v>22</v>
      </c>
      <c r="E31" s="11">
        <v>0</v>
      </c>
      <c r="F31" s="12">
        <v>22519.52</v>
      </c>
      <c r="G31" s="12">
        <f t="shared" si="0"/>
        <v>669414.06999999983</v>
      </c>
      <c r="H31" s="4" t="s">
        <v>54</v>
      </c>
    </row>
    <row r="32" spans="1:8" ht="9" customHeight="1" x14ac:dyDescent="0.25">
      <c r="A32" s="8">
        <v>210061631168</v>
      </c>
      <c r="B32" s="17" t="s">
        <v>19</v>
      </c>
      <c r="C32" s="5">
        <v>46146</v>
      </c>
      <c r="D32" s="18" t="s">
        <v>20</v>
      </c>
      <c r="E32" s="11">
        <v>337.79</v>
      </c>
      <c r="F32" s="12">
        <v>0</v>
      </c>
      <c r="G32" s="12">
        <f t="shared" si="0"/>
        <v>669076.2799999998</v>
      </c>
    </row>
    <row r="33" spans="1:10" ht="9" customHeight="1" x14ac:dyDescent="0.25">
      <c r="A33" s="8">
        <v>50949490692</v>
      </c>
      <c r="B33" s="17" t="s">
        <v>23</v>
      </c>
      <c r="C33" s="5">
        <v>46146</v>
      </c>
      <c r="D33" s="18" t="s">
        <v>22</v>
      </c>
      <c r="E33" s="11">
        <v>0</v>
      </c>
      <c r="F33" s="12">
        <v>58746</v>
      </c>
      <c r="G33" s="12">
        <f t="shared" si="0"/>
        <v>727822.2799999998</v>
      </c>
      <c r="H33" s="4" t="s">
        <v>51</v>
      </c>
    </row>
    <row r="34" spans="1:10" ht="9" customHeight="1" x14ac:dyDescent="0.25">
      <c r="A34" s="8">
        <v>27249490692</v>
      </c>
      <c r="B34" s="17" t="s">
        <v>24</v>
      </c>
      <c r="C34" s="5">
        <v>46146</v>
      </c>
      <c r="D34" s="18" t="s">
        <v>20</v>
      </c>
      <c r="E34" s="11">
        <v>881.19</v>
      </c>
      <c r="F34" s="12">
        <v>0</v>
      </c>
      <c r="G34" s="12">
        <f t="shared" si="0"/>
        <v>726941.08999999985</v>
      </c>
    </row>
    <row r="35" spans="1:10" ht="9" customHeight="1" x14ac:dyDescent="0.25">
      <c r="A35" s="8">
        <v>50953451515</v>
      </c>
      <c r="B35" s="17" t="s">
        <v>25</v>
      </c>
      <c r="C35" s="5">
        <v>46146</v>
      </c>
      <c r="D35" s="18" t="s">
        <v>22</v>
      </c>
      <c r="E35" s="11">
        <v>0</v>
      </c>
      <c r="F35" s="12">
        <v>29373.279999999999</v>
      </c>
      <c r="G35" s="12">
        <f t="shared" si="0"/>
        <v>756314.36999999988</v>
      </c>
      <c r="H35" s="4" t="s">
        <v>53</v>
      </c>
    </row>
    <row r="36" spans="1:10" ht="9" customHeight="1" x14ac:dyDescent="0.25">
      <c r="A36" s="8">
        <v>27253451515</v>
      </c>
      <c r="B36" s="17" t="s">
        <v>24</v>
      </c>
      <c r="C36" s="5">
        <v>46146</v>
      </c>
      <c r="D36" s="18" t="s">
        <v>20</v>
      </c>
      <c r="E36" s="17">
        <v>440.6</v>
      </c>
      <c r="F36" s="12">
        <v>0</v>
      </c>
      <c r="G36" s="12">
        <f t="shared" si="0"/>
        <v>755873.7699999999</v>
      </c>
    </row>
    <row r="37" spans="1:10" ht="9" customHeight="1" x14ac:dyDescent="0.25">
      <c r="A37" s="8">
        <v>50956484165</v>
      </c>
      <c r="B37" s="17" t="s">
        <v>26</v>
      </c>
      <c r="C37" s="5">
        <v>46147</v>
      </c>
      <c r="D37" s="18" t="s">
        <v>22</v>
      </c>
      <c r="E37" s="17">
        <v>0</v>
      </c>
      <c r="F37" s="12">
        <v>14700</v>
      </c>
      <c r="G37" s="12">
        <f t="shared" si="0"/>
        <v>770573.7699999999</v>
      </c>
      <c r="H37" s="4" t="s">
        <v>49</v>
      </c>
    </row>
    <row r="38" spans="1:10" ht="9" customHeight="1" x14ac:dyDescent="0.25">
      <c r="A38" s="8">
        <v>27256484165</v>
      </c>
      <c r="B38" s="17" t="s">
        <v>24</v>
      </c>
      <c r="C38" s="5">
        <v>46147</v>
      </c>
      <c r="D38" s="18" t="s">
        <v>20</v>
      </c>
      <c r="E38" s="17">
        <v>220.5</v>
      </c>
      <c r="F38" s="12">
        <v>0</v>
      </c>
      <c r="G38" s="12">
        <f t="shared" si="0"/>
        <v>770353.2699999999</v>
      </c>
    </row>
    <row r="39" spans="1:10" ht="9" customHeight="1" x14ac:dyDescent="0.25">
      <c r="A39" s="8">
        <v>50956595750</v>
      </c>
      <c r="B39" s="17" t="s">
        <v>26</v>
      </c>
      <c r="C39" s="5">
        <v>46147</v>
      </c>
      <c r="D39" s="18" t="s">
        <v>22</v>
      </c>
      <c r="E39" s="17">
        <v>0</v>
      </c>
      <c r="F39" s="12">
        <v>24500</v>
      </c>
      <c r="G39" s="12">
        <f t="shared" si="0"/>
        <v>794853.2699999999</v>
      </c>
      <c r="H39" s="4" t="s">
        <v>49</v>
      </c>
    </row>
    <row r="40" spans="1:10" ht="9" customHeight="1" x14ac:dyDescent="0.25">
      <c r="A40" s="8">
        <v>27256595750</v>
      </c>
      <c r="B40" s="17" t="s">
        <v>24</v>
      </c>
      <c r="C40" s="5">
        <v>46147</v>
      </c>
      <c r="D40" s="18" t="s">
        <v>20</v>
      </c>
      <c r="E40" s="17">
        <v>367.5</v>
      </c>
      <c r="F40" s="12">
        <v>0</v>
      </c>
      <c r="G40" s="12">
        <f t="shared" si="0"/>
        <v>794485.7699999999</v>
      </c>
    </row>
    <row r="41" spans="1:10" ht="9" customHeight="1" x14ac:dyDescent="0.25">
      <c r="A41" s="8">
        <v>50951818629</v>
      </c>
      <c r="B41" s="17" t="s">
        <v>23</v>
      </c>
      <c r="C41" s="5">
        <v>46147</v>
      </c>
      <c r="D41" s="18" t="s">
        <v>22</v>
      </c>
      <c r="E41" s="17">
        <v>0</v>
      </c>
      <c r="F41" s="12">
        <v>9800</v>
      </c>
      <c r="G41" s="12">
        <f t="shared" si="0"/>
        <v>804285.7699999999</v>
      </c>
    </row>
    <row r="42" spans="1:10" ht="9" customHeight="1" x14ac:dyDescent="0.25">
      <c r="A42" s="8">
        <v>27251818629</v>
      </c>
      <c r="B42" s="17" t="s">
        <v>24</v>
      </c>
      <c r="C42" s="5">
        <v>46147</v>
      </c>
      <c r="D42" s="18" t="s">
        <v>20</v>
      </c>
      <c r="E42" s="17">
        <v>147</v>
      </c>
      <c r="F42" s="12">
        <v>0</v>
      </c>
      <c r="G42" s="12">
        <f t="shared" si="0"/>
        <v>804138.7699999999</v>
      </c>
    </row>
    <row r="43" spans="1:10" ht="9" customHeight="1" x14ac:dyDescent="0.25">
      <c r="A43" s="8">
        <v>677263412859</v>
      </c>
      <c r="B43" s="17" t="s">
        <v>27</v>
      </c>
      <c r="C43" s="5">
        <v>46147</v>
      </c>
      <c r="D43" s="18" t="s">
        <v>22</v>
      </c>
      <c r="E43" s="17">
        <v>0</v>
      </c>
      <c r="F43" s="12">
        <v>19602</v>
      </c>
      <c r="G43" s="12">
        <f t="shared" si="0"/>
        <v>823740.7699999999</v>
      </c>
      <c r="H43" s="4" t="s">
        <v>52</v>
      </c>
    </row>
    <row r="44" spans="1:10" ht="9" customHeight="1" x14ac:dyDescent="0.25">
      <c r="A44" s="8">
        <v>210063412859</v>
      </c>
      <c r="B44" s="9" t="s">
        <v>15</v>
      </c>
      <c r="C44" s="5">
        <v>46147</v>
      </c>
      <c r="D44" s="10" t="s">
        <v>10</v>
      </c>
      <c r="E44" s="19">
        <v>294.02999999999997</v>
      </c>
      <c r="F44" s="12">
        <v>0</v>
      </c>
      <c r="G44" s="12">
        <f t="shared" si="0"/>
        <v>823446.73999999987</v>
      </c>
    </row>
    <row r="45" spans="1:10" ht="9" customHeight="1" x14ac:dyDescent="0.25">
      <c r="A45" s="44">
        <v>329288228422</v>
      </c>
      <c r="B45" s="45" t="s">
        <v>85</v>
      </c>
      <c r="C45" s="46">
        <v>46147</v>
      </c>
      <c r="D45" s="47" t="s">
        <v>20</v>
      </c>
      <c r="E45" s="43">
        <v>20000</v>
      </c>
      <c r="F45" s="49">
        <v>0</v>
      </c>
      <c r="G45" s="49">
        <f t="shared" si="0"/>
        <v>803446.73999999987</v>
      </c>
      <c r="H45" s="50"/>
      <c r="I45" s="50" t="s">
        <v>68</v>
      </c>
      <c r="J45" s="50"/>
    </row>
    <row r="46" spans="1:10" ht="9" customHeight="1" x14ac:dyDescent="0.25">
      <c r="A46" s="8">
        <v>676288228422</v>
      </c>
      <c r="B46" s="9" t="s">
        <v>16</v>
      </c>
      <c r="C46" s="5">
        <v>46147</v>
      </c>
      <c r="D46" s="10" t="s">
        <v>10</v>
      </c>
      <c r="E46" s="19">
        <v>50</v>
      </c>
      <c r="F46" s="12">
        <v>0</v>
      </c>
      <c r="G46" s="12">
        <f t="shared" si="0"/>
        <v>803396.73999999987</v>
      </c>
    </row>
    <row r="47" spans="1:10" ht="9" customHeight="1" x14ac:dyDescent="0.25">
      <c r="A47" s="13">
        <v>429715392185</v>
      </c>
      <c r="B47" s="14" t="s">
        <v>28</v>
      </c>
      <c r="C47" s="5">
        <v>46148</v>
      </c>
      <c r="D47" s="6" t="s">
        <v>10</v>
      </c>
      <c r="E47" s="43">
        <v>46202</v>
      </c>
      <c r="F47" s="12">
        <v>0</v>
      </c>
      <c r="G47" s="12">
        <f t="shared" si="0"/>
        <v>757194.73999999987</v>
      </c>
      <c r="I47" s="4" t="s">
        <v>65</v>
      </c>
    </row>
    <row r="48" spans="1:10" ht="9" customHeight="1" x14ac:dyDescent="0.25">
      <c r="A48" s="8">
        <v>429715392185</v>
      </c>
      <c r="B48" s="9" t="s">
        <v>29</v>
      </c>
      <c r="C48" s="5">
        <v>46148</v>
      </c>
      <c r="D48" s="10" t="s">
        <v>10</v>
      </c>
      <c r="E48" s="19">
        <v>138.6</v>
      </c>
      <c r="F48" s="12">
        <v>0</v>
      </c>
      <c r="G48" s="12">
        <f t="shared" si="0"/>
        <v>757056.1399999999</v>
      </c>
    </row>
    <row r="49" spans="1:10" ht="9" customHeight="1" x14ac:dyDescent="0.25">
      <c r="A49" s="13">
        <v>677265264027</v>
      </c>
      <c r="B49" s="14" t="s">
        <v>14</v>
      </c>
      <c r="C49" s="5">
        <v>46148</v>
      </c>
      <c r="D49" s="6" t="s">
        <v>12</v>
      </c>
      <c r="E49" s="19">
        <v>0</v>
      </c>
      <c r="F49" s="12">
        <v>39204</v>
      </c>
      <c r="G49" s="12">
        <f t="shared" si="0"/>
        <v>796260.1399999999</v>
      </c>
      <c r="H49" s="4" t="s">
        <v>52</v>
      </c>
    </row>
    <row r="50" spans="1:10" ht="9" customHeight="1" x14ac:dyDescent="0.25">
      <c r="A50" s="8">
        <v>210065264027</v>
      </c>
      <c r="B50" s="9" t="s">
        <v>15</v>
      </c>
      <c r="C50" s="5">
        <v>46148</v>
      </c>
      <c r="D50" s="10" t="s">
        <v>10</v>
      </c>
      <c r="E50" s="19">
        <v>588.05999999999995</v>
      </c>
      <c r="F50" s="12">
        <v>0</v>
      </c>
      <c r="G50" s="12">
        <f t="shared" si="0"/>
        <v>795672.07999999984</v>
      </c>
    </row>
    <row r="51" spans="1:10" ht="9" customHeight="1" x14ac:dyDescent="0.25">
      <c r="A51" s="13">
        <v>677265421059</v>
      </c>
      <c r="B51" s="14" t="s">
        <v>18</v>
      </c>
      <c r="C51" s="5">
        <v>46148</v>
      </c>
      <c r="D51" s="6" t="s">
        <v>12</v>
      </c>
      <c r="E51" s="19">
        <v>0</v>
      </c>
      <c r="F51" s="12">
        <v>27135.71</v>
      </c>
      <c r="G51" s="12">
        <f t="shared" si="0"/>
        <v>822807.7899999998</v>
      </c>
      <c r="H51" s="4" t="s">
        <v>54</v>
      </c>
    </row>
    <row r="52" spans="1:10" ht="9" customHeight="1" x14ac:dyDescent="0.25">
      <c r="A52" s="8">
        <v>210065421059</v>
      </c>
      <c r="B52" s="9" t="s">
        <v>15</v>
      </c>
      <c r="C52" s="5">
        <v>46148</v>
      </c>
      <c r="D52" s="10" t="s">
        <v>10</v>
      </c>
      <c r="E52" s="19">
        <v>407.04</v>
      </c>
      <c r="F52" s="12">
        <v>0</v>
      </c>
      <c r="G52" s="12">
        <f t="shared" si="0"/>
        <v>822400.74999999977</v>
      </c>
    </row>
    <row r="53" spans="1:10" ht="9" customHeight="1" x14ac:dyDescent="0.25">
      <c r="A53" s="13">
        <v>50956993258</v>
      </c>
      <c r="B53" s="14" t="s">
        <v>11</v>
      </c>
      <c r="C53" s="5">
        <v>46148</v>
      </c>
      <c r="D53" s="6" t="s">
        <v>12</v>
      </c>
      <c r="E53" s="19">
        <v>0</v>
      </c>
      <c r="F53" s="12">
        <v>9870</v>
      </c>
      <c r="G53" s="12">
        <f t="shared" si="0"/>
        <v>832270.74999999977</v>
      </c>
      <c r="H53" s="4" t="s">
        <v>49</v>
      </c>
    </row>
    <row r="54" spans="1:10" ht="9" customHeight="1" x14ac:dyDescent="0.25">
      <c r="A54" s="8">
        <v>27256993258</v>
      </c>
      <c r="B54" s="9" t="s">
        <v>13</v>
      </c>
      <c r="C54" s="5">
        <v>46148</v>
      </c>
      <c r="D54" s="10" t="s">
        <v>10</v>
      </c>
      <c r="E54" s="19">
        <v>148.05000000000001</v>
      </c>
      <c r="F54" s="12">
        <v>0</v>
      </c>
      <c r="G54" s="12">
        <f t="shared" si="0"/>
        <v>832122.69999999972</v>
      </c>
    </row>
    <row r="55" spans="1:10" ht="9" customHeight="1" x14ac:dyDescent="0.25">
      <c r="A55" s="13">
        <v>50966102671</v>
      </c>
      <c r="B55" s="14" t="s">
        <v>30</v>
      </c>
      <c r="C55" s="5">
        <v>46148</v>
      </c>
      <c r="D55" s="6" t="s">
        <v>12</v>
      </c>
      <c r="E55" s="19">
        <v>0</v>
      </c>
      <c r="F55" s="12">
        <v>29603</v>
      </c>
      <c r="G55" s="12">
        <f t="shared" si="0"/>
        <v>861725.69999999972</v>
      </c>
      <c r="H55" s="4" t="s">
        <v>51</v>
      </c>
    </row>
    <row r="56" spans="1:10" ht="9" customHeight="1" x14ac:dyDescent="0.25">
      <c r="A56" s="8">
        <v>27266102671</v>
      </c>
      <c r="B56" s="9" t="s">
        <v>13</v>
      </c>
      <c r="C56" s="5">
        <v>46148</v>
      </c>
      <c r="D56" s="10" t="s">
        <v>10</v>
      </c>
      <c r="E56" s="19">
        <v>444.04</v>
      </c>
      <c r="F56" s="12">
        <v>0</v>
      </c>
      <c r="G56" s="12">
        <f t="shared" si="0"/>
        <v>861281.65999999968</v>
      </c>
    </row>
    <row r="57" spans="1:10" ht="9" customHeight="1" x14ac:dyDescent="0.25">
      <c r="A57" s="8">
        <v>50955336131</v>
      </c>
      <c r="B57" s="9" t="s">
        <v>17</v>
      </c>
      <c r="C57" s="5">
        <v>46148</v>
      </c>
      <c r="D57" s="10" t="s">
        <v>12</v>
      </c>
      <c r="E57" s="19">
        <v>0</v>
      </c>
      <c r="F57" s="12">
        <v>29602.59</v>
      </c>
      <c r="G57" s="12">
        <f t="shared" si="0"/>
        <v>890884.24999999965</v>
      </c>
      <c r="H57" s="4" t="s">
        <v>53</v>
      </c>
      <c r="I57" s="12">
        <v>30046.63</v>
      </c>
      <c r="J57" s="24">
        <f>I57-F57</f>
        <v>444.04000000000087</v>
      </c>
    </row>
    <row r="58" spans="1:10" ht="9" customHeight="1" x14ac:dyDescent="0.25">
      <c r="A58" s="8">
        <v>27255336131</v>
      </c>
      <c r="B58" s="9" t="s">
        <v>13</v>
      </c>
      <c r="C58" s="5">
        <v>46148</v>
      </c>
      <c r="D58" s="9" t="s">
        <v>10</v>
      </c>
      <c r="E58" s="19">
        <v>444.04</v>
      </c>
      <c r="F58" s="12">
        <v>0</v>
      </c>
      <c r="G58" s="12">
        <f t="shared" si="0"/>
        <v>890440.20999999961</v>
      </c>
    </row>
    <row r="59" spans="1:10" ht="9" customHeight="1" x14ac:dyDescent="0.25">
      <c r="A59" s="13">
        <v>50957232893</v>
      </c>
      <c r="B59" s="14" t="s">
        <v>11</v>
      </c>
      <c r="C59" s="5">
        <v>46149</v>
      </c>
      <c r="D59" s="14" t="s">
        <v>12</v>
      </c>
      <c r="E59" s="19">
        <v>0</v>
      </c>
      <c r="F59" s="12">
        <v>24840</v>
      </c>
      <c r="G59" s="12">
        <f t="shared" si="0"/>
        <v>915280.20999999961</v>
      </c>
      <c r="H59" s="4" t="s">
        <v>49</v>
      </c>
    </row>
    <row r="60" spans="1:10" ht="9" customHeight="1" x14ac:dyDescent="0.25">
      <c r="A60" s="8">
        <v>27257232893</v>
      </c>
      <c r="B60" s="9" t="s">
        <v>13</v>
      </c>
      <c r="C60" s="5">
        <v>46149</v>
      </c>
      <c r="D60" s="9" t="s">
        <v>10</v>
      </c>
      <c r="E60" s="19">
        <v>372.6</v>
      </c>
      <c r="F60" s="12">
        <v>0</v>
      </c>
      <c r="G60" s="12">
        <f t="shared" si="0"/>
        <v>914907.60999999964</v>
      </c>
    </row>
    <row r="61" spans="1:10" ht="9" customHeight="1" x14ac:dyDescent="0.25">
      <c r="A61" s="13">
        <v>429715410459</v>
      </c>
      <c r="B61" s="14" t="s">
        <v>31</v>
      </c>
      <c r="C61" s="5">
        <v>46149</v>
      </c>
      <c r="D61" s="14" t="s">
        <v>10</v>
      </c>
      <c r="E61" s="19">
        <v>105096</v>
      </c>
      <c r="F61" s="12">
        <v>0</v>
      </c>
      <c r="G61" s="12">
        <f t="shared" si="0"/>
        <v>809811.60999999964</v>
      </c>
      <c r="I61" s="4" t="s">
        <v>66</v>
      </c>
    </row>
    <row r="62" spans="1:10" ht="9" customHeight="1" x14ac:dyDescent="0.25">
      <c r="A62" s="8">
        <v>429715410459</v>
      </c>
      <c r="B62" s="9" t="s">
        <v>29</v>
      </c>
      <c r="C62" s="5">
        <v>46149</v>
      </c>
      <c r="D62" s="9" t="s">
        <v>10</v>
      </c>
      <c r="E62" s="19">
        <v>315.27999999999997</v>
      </c>
      <c r="F62" s="12">
        <v>0</v>
      </c>
      <c r="G62" s="12">
        <f t="shared" si="0"/>
        <v>809496.32999999961</v>
      </c>
    </row>
    <row r="63" spans="1:10" ht="9" customHeight="1" x14ac:dyDescent="0.25">
      <c r="A63" s="13">
        <v>50956312824</v>
      </c>
      <c r="B63" s="14" t="s">
        <v>17</v>
      </c>
      <c r="C63" s="5">
        <v>46149</v>
      </c>
      <c r="D63" s="14" t="s">
        <v>12</v>
      </c>
      <c r="E63" s="19">
        <v>0</v>
      </c>
      <c r="F63" s="12">
        <v>34778.11</v>
      </c>
      <c r="G63" s="12">
        <f t="shared" si="0"/>
        <v>844274.43999999959</v>
      </c>
      <c r="H63" s="4" t="s">
        <v>53</v>
      </c>
      <c r="I63" s="12">
        <v>35299.72</v>
      </c>
      <c r="J63" s="24">
        <f>I63-F63</f>
        <v>521.61000000000058</v>
      </c>
    </row>
    <row r="64" spans="1:10" ht="9" customHeight="1" x14ac:dyDescent="0.25">
      <c r="A64" s="8">
        <v>27256312824</v>
      </c>
      <c r="B64" s="9" t="s">
        <v>13</v>
      </c>
      <c r="C64" s="5">
        <v>46149</v>
      </c>
      <c r="D64" s="9" t="s">
        <v>10</v>
      </c>
      <c r="E64" s="19">
        <v>521.66999999999996</v>
      </c>
      <c r="F64" s="12">
        <v>0</v>
      </c>
      <c r="G64" s="12">
        <f t="shared" si="0"/>
        <v>843752.76999999955</v>
      </c>
    </row>
    <row r="65" spans="1:10" ht="9" customHeight="1" x14ac:dyDescent="0.25">
      <c r="A65" s="13">
        <v>677268683818</v>
      </c>
      <c r="B65" s="14" t="s">
        <v>14</v>
      </c>
      <c r="C65" s="5">
        <v>46150</v>
      </c>
      <c r="D65" s="14" t="s">
        <v>12</v>
      </c>
      <c r="E65" s="19">
        <v>0</v>
      </c>
      <c r="F65" s="12">
        <v>17496</v>
      </c>
      <c r="G65" s="12">
        <f t="shared" si="0"/>
        <v>861248.76999999955</v>
      </c>
      <c r="H65" s="4" t="s">
        <v>52</v>
      </c>
    </row>
    <row r="66" spans="1:10" ht="9" customHeight="1" x14ac:dyDescent="0.25">
      <c r="A66" s="8">
        <v>210068683818</v>
      </c>
      <c r="B66" s="9" t="s">
        <v>15</v>
      </c>
      <c r="C66" s="5">
        <v>46150</v>
      </c>
      <c r="D66" s="9" t="s">
        <v>10</v>
      </c>
      <c r="E66" s="19">
        <v>262.44</v>
      </c>
      <c r="F66" s="12">
        <v>0</v>
      </c>
      <c r="G66" s="12">
        <f t="shared" si="0"/>
        <v>860986.32999999961</v>
      </c>
    </row>
    <row r="67" spans="1:10" ht="9" customHeight="1" x14ac:dyDescent="0.25">
      <c r="A67" s="44">
        <v>329288598637</v>
      </c>
      <c r="B67" s="45" t="s">
        <v>86</v>
      </c>
      <c r="C67" s="46">
        <v>46150</v>
      </c>
      <c r="D67" s="45" t="s">
        <v>20</v>
      </c>
      <c r="E67" s="43">
        <v>40000</v>
      </c>
      <c r="F67" s="49">
        <v>0</v>
      </c>
      <c r="G67" s="49">
        <f t="shared" si="0"/>
        <v>820986.32999999961</v>
      </c>
      <c r="H67" s="50"/>
      <c r="I67" s="50" t="s">
        <v>68</v>
      </c>
      <c r="J67" s="50"/>
    </row>
    <row r="68" spans="1:10" ht="9" customHeight="1" x14ac:dyDescent="0.25">
      <c r="A68" s="8">
        <v>676288598637</v>
      </c>
      <c r="B68" s="9" t="s">
        <v>16</v>
      </c>
      <c r="C68" s="5">
        <v>46150</v>
      </c>
      <c r="D68" s="9" t="s">
        <v>10</v>
      </c>
      <c r="E68" s="19">
        <v>100</v>
      </c>
      <c r="F68" s="12">
        <v>0</v>
      </c>
      <c r="G68" s="12">
        <f t="shared" si="0"/>
        <v>820886.32999999961</v>
      </c>
    </row>
    <row r="69" spans="1:10" ht="9" customHeight="1" x14ac:dyDescent="0.2">
      <c r="A69" s="13">
        <v>329290756442</v>
      </c>
      <c r="B69" s="14" t="s">
        <v>32</v>
      </c>
      <c r="C69" s="5">
        <v>46150</v>
      </c>
      <c r="D69" s="14" t="s">
        <v>10</v>
      </c>
      <c r="E69" s="23">
        <v>54905</v>
      </c>
      <c r="F69" s="12">
        <v>0</v>
      </c>
      <c r="G69" s="12">
        <f t="shared" ref="G69:G132" si="1">G68-E69+F69</f>
        <v>765981.32999999961</v>
      </c>
      <c r="I69" s="32" t="s">
        <v>59</v>
      </c>
    </row>
    <row r="70" spans="1:10" ht="9" customHeight="1" x14ac:dyDescent="0.25">
      <c r="A70" s="8">
        <v>676290756442</v>
      </c>
      <c r="B70" s="9" t="s">
        <v>16</v>
      </c>
      <c r="C70" s="5">
        <v>46150</v>
      </c>
      <c r="D70" s="9" t="s">
        <v>10</v>
      </c>
      <c r="E70" s="19">
        <v>137.26</v>
      </c>
      <c r="F70" s="12">
        <v>0</v>
      </c>
      <c r="G70" s="12">
        <f t="shared" si="1"/>
        <v>765844.0699999996</v>
      </c>
    </row>
    <row r="71" spans="1:10" ht="9" customHeight="1" x14ac:dyDescent="0.25">
      <c r="A71" s="20">
        <v>50957580684</v>
      </c>
      <c r="B71" s="14" t="s">
        <v>11</v>
      </c>
      <c r="C71" s="5">
        <v>46150</v>
      </c>
      <c r="D71" s="14" t="s">
        <v>12</v>
      </c>
      <c r="E71" s="19">
        <v>0</v>
      </c>
      <c r="F71" s="12">
        <v>5000</v>
      </c>
      <c r="G71" s="12">
        <f t="shared" si="1"/>
        <v>770844.0699999996</v>
      </c>
    </row>
    <row r="72" spans="1:10" ht="9" customHeight="1" x14ac:dyDescent="0.25">
      <c r="A72" s="8">
        <v>27257580684</v>
      </c>
      <c r="B72" s="9" t="s">
        <v>13</v>
      </c>
      <c r="C72" s="5">
        <v>46150</v>
      </c>
      <c r="D72" s="9" t="s">
        <v>10</v>
      </c>
      <c r="E72" s="19">
        <v>75</v>
      </c>
      <c r="F72" s="12">
        <v>0</v>
      </c>
      <c r="G72" s="12">
        <f t="shared" si="1"/>
        <v>770769.0699999996</v>
      </c>
    </row>
    <row r="73" spans="1:10" ht="9" customHeight="1" x14ac:dyDescent="0.25">
      <c r="A73" s="13">
        <v>50981812996</v>
      </c>
      <c r="B73" s="14" t="s">
        <v>30</v>
      </c>
      <c r="C73" s="5">
        <v>46150</v>
      </c>
      <c r="D73" s="14" t="s">
        <v>12</v>
      </c>
      <c r="E73" s="19">
        <v>0</v>
      </c>
      <c r="F73" s="12">
        <v>44987.4</v>
      </c>
      <c r="G73" s="12">
        <f t="shared" si="1"/>
        <v>815756.46999999962</v>
      </c>
      <c r="H73" s="4" t="s">
        <v>51</v>
      </c>
    </row>
    <row r="74" spans="1:10" ht="9" customHeight="1" x14ac:dyDescent="0.25">
      <c r="A74" s="8">
        <v>27281812996</v>
      </c>
      <c r="B74" s="9" t="s">
        <v>13</v>
      </c>
      <c r="C74" s="5">
        <v>46150</v>
      </c>
      <c r="D74" s="9" t="s">
        <v>10</v>
      </c>
      <c r="E74" s="19">
        <v>674.81</v>
      </c>
      <c r="F74" s="12">
        <v>0</v>
      </c>
      <c r="G74" s="12">
        <f t="shared" si="1"/>
        <v>815081.65999999957</v>
      </c>
    </row>
    <row r="75" spans="1:10" ht="9" customHeight="1" x14ac:dyDescent="0.25">
      <c r="A75" s="13">
        <v>50957614259</v>
      </c>
      <c r="B75" s="14" t="s">
        <v>11</v>
      </c>
      <c r="C75" s="5">
        <v>46150</v>
      </c>
      <c r="D75" s="14" t="s">
        <v>12</v>
      </c>
      <c r="E75" s="19">
        <v>0</v>
      </c>
      <c r="F75" s="12">
        <v>35000</v>
      </c>
      <c r="G75" s="12">
        <f t="shared" si="1"/>
        <v>850081.65999999957</v>
      </c>
      <c r="H75" s="4" t="s">
        <v>49</v>
      </c>
    </row>
    <row r="76" spans="1:10" ht="9" customHeight="1" x14ac:dyDescent="0.25">
      <c r="A76" s="8">
        <v>27257614259</v>
      </c>
      <c r="B76" s="9" t="s">
        <v>13</v>
      </c>
      <c r="C76" s="5">
        <v>46150</v>
      </c>
      <c r="D76" s="9" t="s">
        <v>10</v>
      </c>
      <c r="E76" s="19">
        <v>525</v>
      </c>
      <c r="F76" s="12">
        <v>0</v>
      </c>
      <c r="G76" s="12">
        <f t="shared" si="1"/>
        <v>849556.65999999957</v>
      </c>
    </row>
    <row r="77" spans="1:10" ht="9" customHeight="1" x14ac:dyDescent="0.25">
      <c r="A77" s="44">
        <v>329290788599</v>
      </c>
      <c r="B77" s="45" t="s">
        <v>87</v>
      </c>
      <c r="C77" s="46">
        <v>46150</v>
      </c>
      <c r="D77" s="45" t="s">
        <v>20</v>
      </c>
      <c r="E77" s="43">
        <v>20000</v>
      </c>
      <c r="F77" s="49">
        <v>0</v>
      </c>
      <c r="G77" s="49">
        <f t="shared" si="1"/>
        <v>829556.65999999957</v>
      </c>
      <c r="H77" s="50"/>
      <c r="I77" s="50" t="s">
        <v>68</v>
      </c>
      <c r="J77" s="50"/>
    </row>
    <row r="78" spans="1:10" ht="9" customHeight="1" x14ac:dyDescent="0.25">
      <c r="A78" s="8">
        <v>676290788599</v>
      </c>
      <c r="B78" s="9" t="s">
        <v>16</v>
      </c>
      <c r="C78" s="5">
        <v>46150</v>
      </c>
      <c r="D78" s="9" t="s">
        <v>10</v>
      </c>
      <c r="E78" s="19">
        <v>50</v>
      </c>
      <c r="F78" s="12">
        <v>0</v>
      </c>
      <c r="G78" s="12">
        <f t="shared" si="1"/>
        <v>829506.65999999957</v>
      </c>
    </row>
    <row r="79" spans="1:10" ht="9" customHeight="1" x14ac:dyDescent="0.25">
      <c r="A79" s="13">
        <v>50982614081</v>
      </c>
      <c r="B79" s="14" t="s">
        <v>30</v>
      </c>
      <c r="C79" s="5">
        <v>46150</v>
      </c>
      <c r="D79" s="14" t="s">
        <v>12</v>
      </c>
      <c r="E79" s="19">
        <v>0</v>
      </c>
      <c r="F79" s="12">
        <v>29991.599999999999</v>
      </c>
      <c r="G79" s="12">
        <f t="shared" si="1"/>
        <v>859498.25999999954</v>
      </c>
      <c r="H79" s="4" t="s">
        <v>51</v>
      </c>
    </row>
    <row r="80" spans="1:10" ht="9" customHeight="1" x14ac:dyDescent="0.25">
      <c r="A80" s="8">
        <v>27282614081</v>
      </c>
      <c r="B80" s="9" t="s">
        <v>13</v>
      </c>
      <c r="C80" s="5">
        <v>46150</v>
      </c>
      <c r="D80" s="9" t="s">
        <v>10</v>
      </c>
      <c r="E80" s="19">
        <v>449.87</v>
      </c>
      <c r="F80" s="12">
        <v>0</v>
      </c>
      <c r="G80" s="12">
        <f t="shared" si="1"/>
        <v>859048.38999999955</v>
      </c>
    </row>
    <row r="81" spans="1:10" ht="9" customHeight="1" x14ac:dyDescent="0.25">
      <c r="A81" s="13">
        <v>677269958298</v>
      </c>
      <c r="B81" s="14" t="s">
        <v>18</v>
      </c>
      <c r="C81" s="5">
        <v>46150</v>
      </c>
      <c r="D81" s="14" t="s">
        <v>12</v>
      </c>
      <c r="E81" s="19">
        <v>0</v>
      </c>
      <c r="F81" s="12">
        <v>55984.41</v>
      </c>
      <c r="G81" s="12">
        <f t="shared" si="1"/>
        <v>915032.79999999958</v>
      </c>
      <c r="H81" s="4" t="s">
        <v>54</v>
      </c>
    </row>
    <row r="82" spans="1:10" ht="9" customHeight="1" x14ac:dyDescent="0.25">
      <c r="A82" s="8">
        <v>210069958298</v>
      </c>
      <c r="B82" s="9" t="s">
        <v>15</v>
      </c>
      <c r="C82" s="5">
        <v>46150</v>
      </c>
      <c r="D82" s="9" t="s">
        <v>10</v>
      </c>
      <c r="E82" s="19">
        <v>839.77</v>
      </c>
      <c r="F82" s="12">
        <v>0</v>
      </c>
      <c r="G82" s="12">
        <f t="shared" si="1"/>
        <v>914193.02999999956</v>
      </c>
    </row>
    <row r="83" spans="1:10" ht="9" customHeight="1" x14ac:dyDescent="0.25">
      <c r="A83" s="13">
        <v>677270824137</v>
      </c>
      <c r="B83" s="14" t="s">
        <v>14</v>
      </c>
      <c r="C83" s="5">
        <v>46151</v>
      </c>
      <c r="D83" s="14" t="s">
        <v>12</v>
      </c>
      <c r="E83" s="19">
        <v>0</v>
      </c>
      <c r="F83" s="12">
        <v>12497</v>
      </c>
      <c r="G83" s="12">
        <f t="shared" si="1"/>
        <v>926690.02999999956</v>
      </c>
      <c r="H83" s="4" t="s">
        <v>52</v>
      </c>
    </row>
    <row r="84" spans="1:10" ht="9" customHeight="1" x14ac:dyDescent="0.25">
      <c r="A84" s="8">
        <v>210070824137</v>
      </c>
      <c r="B84" s="9" t="s">
        <v>15</v>
      </c>
      <c r="C84" s="5">
        <v>46151</v>
      </c>
      <c r="D84" s="9" t="s">
        <v>10</v>
      </c>
      <c r="E84" s="19">
        <v>187.45</v>
      </c>
      <c r="F84" s="12">
        <v>0</v>
      </c>
      <c r="G84" s="12">
        <f t="shared" si="1"/>
        <v>926502.57999999961</v>
      </c>
    </row>
    <row r="85" spans="1:10" ht="9" customHeight="1" x14ac:dyDescent="0.25">
      <c r="A85" s="20">
        <v>50958649647</v>
      </c>
      <c r="B85" s="14" t="s">
        <v>17</v>
      </c>
      <c r="C85" s="5">
        <v>46151</v>
      </c>
      <c r="D85" s="14" t="s">
        <v>12</v>
      </c>
      <c r="E85" s="19">
        <v>0</v>
      </c>
      <c r="F85" s="12">
        <v>70064.479999999996</v>
      </c>
      <c r="G85" s="12">
        <f t="shared" si="1"/>
        <v>996567.05999999959</v>
      </c>
      <c r="H85" s="4" t="s">
        <v>53</v>
      </c>
      <c r="I85" s="12">
        <v>71115.45</v>
      </c>
      <c r="J85" s="24">
        <f>I85-F85</f>
        <v>1050.9700000000012</v>
      </c>
    </row>
    <row r="86" spans="1:10" ht="9" customHeight="1" x14ac:dyDescent="0.25">
      <c r="A86" s="8">
        <v>27258649647</v>
      </c>
      <c r="B86" s="9" t="s">
        <v>13</v>
      </c>
      <c r="C86" s="5">
        <v>46151</v>
      </c>
      <c r="D86" s="9" t="s">
        <v>10</v>
      </c>
      <c r="E86" s="19">
        <v>1050.97</v>
      </c>
      <c r="F86" s="12">
        <v>0</v>
      </c>
      <c r="G86" s="12">
        <f t="shared" si="1"/>
        <v>995516.08999999962</v>
      </c>
    </row>
    <row r="87" spans="1:10" ht="9" customHeight="1" x14ac:dyDescent="0.25">
      <c r="A87" s="13">
        <v>329290879088</v>
      </c>
      <c r="B87" s="14" t="s">
        <v>33</v>
      </c>
      <c r="C87" s="5">
        <v>46152</v>
      </c>
      <c r="D87" s="14" t="s">
        <v>10</v>
      </c>
      <c r="E87" s="19">
        <v>84976</v>
      </c>
      <c r="F87" s="12">
        <v>0</v>
      </c>
      <c r="G87" s="12">
        <f t="shared" si="1"/>
        <v>910540.08999999962</v>
      </c>
      <c r="I87" s="4" t="s">
        <v>56</v>
      </c>
    </row>
    <row r="88" spans="1:10" ht="9" customHeight="1" x14ac:dyDescent="0.25">
      <c r="A88" s="8">
        <v>676290879088</v>
      </c>
      <c r="B88" s="9" t="s">
        <v>16</v>
      </c>
      <c r="C88" s="5">
        <v>46152</v>
      </c>
      <c r="D88" s="9" t="s">
        <v>10</v>
      </c>
      <c r="E88" s="19">
        <v>212.44</v>
      </c>
      <c r="F88" s="12">
        <v>0</v>
      </c>
      <c r="G88" s="12">
        <f t="shared" si="1"/>
        <v>910327.64999999967</v>
      </c>
    </row>
    <row r="89" spans="1:10" ht="9" customHeight="1" x14ac:dyDescent="0.25">
      <c r="A89" s="13">
        <v>50959388484</v>
      </c>
      <c r="B89" s="14" t="s">
        <v>17</v>
      </c>
      <c r="C89" s="5">
        <v>46152</v>
      </c>
      <c r="D89" s="14" t="s">
        <v>12</v>
      </c>
      <c r="E89" s="19">
        <v>0</v>
      </c>
      <c r="F89" s="12">
        <v>30027.64</v>
      </c>
      <c r="G89" s="12">
        <f t="shared" si="1"/>
        <v>940355.28999999969</v>
      </c>
      <c r="H89" s="4" t="s">
        <v>53</v>
      </c>
      <c r="I89" s="12">
        <v>30478.05</v>
      </c>
      <c r="J89" s="24">
        <f>I89-F89</f>
        <v>450.40999999999985</v>
      </c>
    </row>
    <row r="90" spans="1:10" ht="9" customHeight="1" x14ac:dyDescent="0.25">
      <c r="A90" s="8">
        <v>27259388484</v>
      </c>
      <c r="B90" s="9" t="s">
        <v>13</v>
      </c>
      <c r="C90" s="5">
        <v>46152</v>
      </c>
      <c r="D90" s="9" t="s">
        <v>10</v>
      </c>
      <c r="E90" s="19">
        <v>450.41</v>
      </c>
      <c r="F90" s="12">
        <v>0</v>
      </c>
      <c r="G90" s="12">
        <f t="shared" si="1"/>
        <v>939904.87999999966</v>
      </c>
    </row>
    <row r="91" spans="1:10" ht="9" customHeight="1" x14ac:dyDescent="0.25">
      <c r="A91" s="34">
        <v>329290894899</v>
      </c>
      <c r="B91" s="35" t="s">
        <v>75</v>
      </c>
      <c r="C91" s="36">
        <v>46153</v>
      </c>
      <c r="D91" s="35" t="s">
        <v>20</v>
      </c>
      <c r="E91" s="37">
        <v>45541.91</v>
      </c>
      <c r="F91" s="38">
        <v>0</v>
      </c>
      <c r="G91" s="38">
        <f t="shared" si="1"/>
        <v>894362.96999999962</v>
      </c>
      <c r="H91" s="39"/>
      <c r="I91" s="39" t="s">
        <v>78</v>
      </c>
      <c r="J91" s="40"/>
    </row>
    <row r="92" spans="1:10" ht="9" customHeight="1" x14ac:dyDescent="0.25">
      <c r="A92" s="8">
        <v>676290894899</v>
      </c>
      <c r="B92" s="9" t="s">
        <v>16</v>
      </c>
      <c r="C92" s="5">
        <v>46153</v>
      </c>
      <c r="D92" s="9" t="s">
        <v>10</v>
      </c>
      <c r="E92" s="19">
        <v>113.85</v>
      </c>
      <c r="F92" s="12">
        <v>0</v>
      </c>
      <c r="G92" s="12">
        <f t="shared" si="1"/>
        <v>894249.11999999965</v>
      </c>
    </row>
    <row r="93" spans="1:10" ht="9" customHeight="1" x14ac:dyDescent="0.25">
      <c r="A93" s="13">
        <v>429715462986</v>
      </c>
      <c r="B93" s="14" t="s">
        <v>34</v>
      </c>
      <c r="C93" s="5">
        <v>46153</v>
      </c>
      <c r="D93" s="14" t="s">
        <v>10</v>
      </c>
      <c r="E93" s="19">
        <v>35400</v>
      </c>
      <c r="F93" s="12">
        <v>0</v>
      </c>
      <c r="G93" s="12">
        <f t="shared" si="1"/>
        <v>858849.11999999965</v>
      </c>
      <c r="I93" s="4" t="s">
        <v>62</v>
      </c>
    </row>
    <row r="94" spans="1:10" ht="9" customHeight="1" x14ac:dyDescent="0.25">
      <c r="A94" s="8">
        <v>429715462986</v>
      </c>
      <c r="B94" s="9" t="s">
        <v>29</v>
      </c>
      <c r="C94" s="5">
        <v>46153</v>
      </c>
      <c r="D94" s="9" t="s">
        <v>10</v>
      </c>
      <c r="E94" s="19">
        <v>106.2</v>
      </c>
      <c r="F94" s="12">
        <v>0</v>
      </c>
      <c r="G94" s="12">
        <f t="shared" si="1"/>
        <v>858742.91999999969</v>
      </c>
    </row>
    <row r="95" spans="1:10" ht="9" customHeight="1" x14ac:dyDescent="0.25">
      <c r="A95" s="13">
        <v>429715463833</v>
      </c>
      <c r="B95" s="14" t="s">
        <v>28</v>
      </c>
      <c r="C95" s="5">
        <v>46153</v>
      </c>
      <c r="D95" s="14" t="s">
        <v>10</v>
      </c>
      <c r="E95" s="19">
        <v>50088.15</v>
      </c>
      <c r="F95" s="12">
        <v>0</v>
      </c>
      <c r="G95" s="12">
        <f t="shared" si="1"/>
        <v>808654.76999999967</v>
      </c>
      <c r="I95" s="4" t="s">
        <v>65</v>
      </c>
    </row>
    <row r="96" spans="1:10" ht="9" customHeight="1" x14ac:dyDescent="0.25">
      <c r="A96" s="8">
        <v>429715463833</v>
      </c>
      <c r="B96" s="9" t="s">
        <v>29</v>
      </c>
      <c r="C96" s="5">
        <v>46153</v>
      </c>
      <c r="D96" s="9" t="s">
        <v>10</v>
      </c>
      <c r="E96" s="19">
        <v>150.26</v>
      </c>
      <c r="F96" s="12">
        <v>0</v>
      </c>
      <c r="G96" s="12">
        <f t="shared" si="1"/>
        <v>808504.50999999966</v>
      </c>
    </row>
    <row r="97" spans="1:10" ht="9" customHeight="1" x14ac:dyDescent="0.25">
      <c r="A97" s="13">
        <v>597315482554</v>
      </c>
      <c r="B97" s="14" t="s">
        <v>35</v>
      </c>
      <c r="C97" s="5">
        <v>46154</v>
      </c>
      <c r="D97" s="14" t="s">
        <v>10</v>
      </c>
      <c r="E97" s="19">
        <v>20319.37</v>
      </c>
      <c r="F97" s="12">
        <v>0</v>
      </c>
      <c r="G97" s="12">
        <f t="shared" si="1"/>
        <v>788185.13999999966</v>
      </c>
      <c r="I97" s="4" t="s">
        <v>61</v>
      </c>
    </row>
    <row r="98" spans="1:10" ht="9" customHeight="1" x14ac:dyDescent="0.25">
      <c r="A98" s="8">
        <v>597315482554</v>
      </c>
      <c r="B98" s="9" t="s">
        <v>36</v>
      </c>
      <c r="C98" s="5">
        <v>46154</v>
      </c>
      <c r="D98" s="9" t="s">
        <v>10</v>
      </c>
      <c r="E98" s="19">
        <v>60.95</v>
      </c>
      <c r="F98" s="12">
        <v>0</v>
      </c>
      <c r="G98" s="12">
        <f t="shared" si="1"/>
        <v>788124.18999999971</v>
      </c>
    </row>
    <row r="99" spans="1:10" ht="9" customHeight="1" x14ac:dyDescent="0.25">
      <c r="A99" s="20">
        <v>677277941135</v>
      </c>
      <c r="B99" s="14" t="s">
        <v>14</v>
      </c>
      <c r="C99" s="5">
        <v>46154</v>
      </c>
      <c r="D99" s="14" t="s">
        <v>12</v>
      </c>
      <c r="E99" s="19">
        <v>0</v>
      </c>
      <c r="F99" s="12">
        <v>10099</v>
      </c>
      <c r="G99" s="12">
        <f t="shared" si="1"/>
        <v>798223.18999999971</v>
      </c>
      <c r="H99" s="4" t="s">
        <v>52</v>
      </c>
    </row>
    <row r="100" spans="1:10" ht="9" customHeight="1" x14ac:dyDescent="0.25">
      <c r="A100" s="8">
        <v>210077941135</v>
      </c>
      <c r="B100" s="9" t="s">
        <v>15</v>
      </c>
      <c r="C100" s="5">
        <v>46154</v>
      </c>
      <c r="D100" s="9" t="s">
        <v>10</v>
      </c>
      <c r="E100" s="19">
        <v>151.47999999999999</v>
      </c>
      <c r="F100" s="12">
        <v>0</v>
      </c>
      <c r="G100" s="12">
        <f t="shared" si="1"/>
        <v>798071.70999999973</v>
      </c>
    </row>
    <row r="101" spans="1:10" ht="9" customHeight="1" x14ac:dyDescent="0.25">
      <c r="A101" s="13">
        <v>429715495752</v>
      </c>
      <c r="B101" s="14" t="s">
        <v>34</v>
      </c>
      <c r="C101" s="5">
        <v>46155</v>
      </c>
      <c r="D101" s="14" t="s">
        <v>10</v>
      </c>
      <c r="E101" s="19">
        <v>35602</v>
      </c>
      <c r="F101" s="12">
        <v>0</v>
      </c>
      <c r="G101" s="12">
        <f t="shared" si="1"/>
        <v>762469.70999999973</v>
      </c>
      <c r="I101" s="4" t="s">
        <v>63</v>
      </c>
      <c r="J101" s="4" t="s">
        <v>64</v>
      </c>
    </row>
    <row r="102" spans="1:10" ht="9" customHeight="1" x14ac:dyDescent="0.25">
      <c r="A102" s="8">
        <v>429715495752</v>
      </c>
      <c r="B102" s="9" t="s">
        <v>29</v>
      </c>
      <c r="C102" s="5">
        <v>46155</v>
      </c>
      <c r="D102" s="9" t="s">
        <v>10</v>
      </c>
      <c r="E102" s="19">
        <v>106.8</v>
      </c>
      <c r="F102" s="12">
        <v>0</v>
      </c>
      <c r="G102" s="12">
        <f t="shared" si="1"/>
        <v>762362.90999999968</v>
      </c>
    </row>
    <row r="103" spans="1:10" ht="9" customHeight="1" x14ac:dyDescent="0.25">
      <c r="A103" s="13">
        <v>429715496978</v>
      </c>
      <c r="B103" s="14" t="s">
        <v>34</v>
      </c>
      <c r="C103" s="5">
        <v>46155</v>
      </c>
      <c r="D103" s="14" t="s">
        <v>10</v>
      </c>
      <c r="E103" s="19">
        <v>5800</v>
      </c>
      <c r="F103" s="12">
        <v>0</v>
      </c>
      <c r="G103" s="12">
        <f t="shared" si="1"/>
        <v>756562.90999999968</v>
      </c>
      <c r="I103" s="4" t="s">
        <v>63</v>
      </c>
      <c r="J103" s="4" t="s">
        <v>64</v>
      </c>
    </row>
    <row r="104" spans="1:10" ht="9" customHeight="1" x14ac:dyDescent="0.25">
      <c r="A104" s="8">
        <v>429715496978</v>
      </c>
      <c r="B104" s="9" t="s">
        <v>29</v>
      </c>
      <c r="C104" s="5">
        <v>46155</v>
      </c>
      <c r="D104" s="9" t="s">
        <v>10</v>
      </c>
      <c r="E104" s="19">
        <v>17.399999999999999</v>
      </c>
      <c r="F104" s="12">
        <v>0</v>
      </c>
      <c r="G104" s="12">
        <f t="shared" si="1"/>
        <v>756545.50999999966</v>
      </c>
    </row>
    <row r="105" spans="1:10" ht="9" customHeight="1" x14ac:dyDescent="0.25">
      <c r="A105" s="13">
        <v>50962120145</v>
      </c>
      <c r="B105" s="14" t="s">
        <v>17</v>
      </c>
      <c r="C105" s="5">
        <v>46155</v>
      </c>
      <c r="D105" s="14" t="s">
        <v>12</v>
      </c>
      <c r="E105" s="19">
        <v>0</v>
      </c>
      <c r="F105" s="12">
        <v>35602.03</v>
      </c>
      <c r="G105" s="12">
        <f t="shared" si="1"/>
        <v>792147.53999999969</v>
      </c>
      <c r="H105" s="4" t="s">
        <v>53</v>
      </c>
      <c r="I105" s="12">
        <v>36136.06</v>
      </c>
      <c r="J105" s="24">
        <f>I105-F105</f>
        <v>534.02999999999884</v>
      </c>
    </row>
    <row r="106" spans="1:10" ht="9" customHeight="1" x14ac:dyDescent="0.25">
      <c r="A106" s="8">
        <v>27262120145</v>
      </c>
      <c r="B106" s="9" t="s">
        <v>13</v>
      </c>
      <c r="C106" s="5">
        <v>46155</v>
      </c>
      <c r="D106" s="9" t="s">
        <v>10</v>
      </c>
      <c r="E106" s="19">
        <v>534.03</v>
      </c>
      <c r="F106" s="12">
        <v>0</v>
      </c>
      <c r="G106" s="12">
        <f t="shared" si="1"/>
        <v>791613.50999999966</v>
      </c>
    </row>
    <row r="107" spans="1:10" ht="9" customHeight="1" x14ac:dyDescent="0.25">
      <c r="A107" s="44">
        <v>329291470608</v>
      </c>
      <c r="B107" s="45" t="s">
        <v>88</v>
      </c>
      <c r="C107" s="46">
        <v>46156</v>
      </c>
      <c r="D107" s="45" t="s">
        <v>20</v>
      </c>
      <c r="E107" s="43">
        <v>51078</v>
      </c>
      <c r="F107" s="49">
        <v>0</v>
      </c>
      <c r="G107" s="49">
        <f t="shared" si="1"/>
        <v>740535.50999999966</v>
      </c>
      <c r="H107" s="50"/>
      <c r="I107" s="50" t="s">
        <v>68</v>
      </c>
      <c r="J107" s="50"/>
    </row>
    <row r="108" spans="1:10" ht="9" customHeight="1" x14ac:dyDescent="0.25">
      <c r="A108" s="8">
        <v>676291470608</v>
      </c>
      <c r="B108" s="9" t="s">
        <v>16</v>
      </c>
      <c r="C108" s="5">
        <v>46156</v>
      </c>
      <c r="D108" s="9" t="s">
        <v>10</v>
      </c>
      <c r="E108" s="19">
        <v>127.69</v>
      </c>
      <c r="F108" s="12">
        <v>0</v>
      </c>
      <c r="G108" s="12">
        <f t="shared" si="1"/>
        <v>740407.81999999972</v>
      </c>
    </row>
    <row r="109" spans="1:10" ht="9" customHeight="1" x14ac:dyDescent="0.25">
      <c r="A109" s="13">
        <v>677281301929</v>
      </c>
      <c r="B109" s="14" t="s">
        <v>18</v>
      </c>
      <c r="C109" s="5">
        <v>46156</v>
      </c>
      <c r="D109" s="14" t="s">
        <v>12</v>
      </c>
      <c r="E109" s="19">
        <v>0</v>
      </c>
      <c r="F109" s="12">
        <v>102157.46</v>
      </c>
      <c r="G109" s="12">
        <f t="shared" si="1"/>
        <v>842565.27999999968</v>
      </c>
      <c r="H109" s="4" t="s">
        <v>54</v>
      </c>
    </row>
    <row r="110" spans="1:10" ht="9" customHeight="1" x14ac:dyDescent="0.25">
      <c r="A110" s="8">
        <v>210081301929</v>
      </c>
      <c r="B110" s="9" t="s">
        <v>15</v>
      </c>
      <c r="C110" s="5">
        <v>46156</v>
      </c>
      <c r="D110" s="9" t="s">
        <v>10</v>
      </c>
      <c r="E110" s="19">
        <v>1532.36</v>
      </c>
      <c r="F110" s="12">
        <v>0</v>
      </c>
      <c r="G110" s="12">
        <f t="shared" si="1"/>
        <v>841032.91999999969</v>
      </c>
    </row>
    <row r="111" spans="1:10" ht="9" customHeight="1" x14ac:dyDescent="0.25">
      <c r="A111" s="13">
        <v>677281328151</v>
      </c>
      <c r="B111" s="14" t="s">
        <v>14</v>
      </c>
      <c r="C111" s="5">
        <v>46156</v>
      </c>
      <c r="D111" s="14" t="s">
        <v>12</v>
      </c>
      <c r="E111" s="19">
        <v>0</v>
      </c>
      <c r="F111" s="12">
        <v>84280</v>
      </c>
      <c r="G111" s="12">
        <f t="shared" si="1"/>
        <v>925312.91999999969</v>
      </c>
      <c r="H111" s="4" t="s">
        <v>52</v>
      </c>
    </row>
    <row r="112" spans="1:10" ht="9" customHeight="1" x14ac:dyDescent="0.25">
      <c r="A112" s="8">
        <v>210081328151</v>
      </c>
      <c r="B112" s="9" t="s">
        <v>15</v>
      </c>
      <c r="C112" s="5">
        <v>46156</v>
      </c>
      <c r="D112" s="9" t="s">
        <v>10</v>
      </c>
      <c r="E112" s="19">
        <v>1264.2</v>
      </c>
      <c r="F112" s="12">
        <v>0</v>
      </c>
      <c r="G112" s="12">
        <f t="shared" si="1"/>
        <v>924048.71999999974</v>
      </c>
    </row>
    <row r="113" spans="1:9" ht="9" customHeight="1" x14ac:dyDescent="0.25">
      <c r="A113" s="20">
        <v>50963066973</v>
      </c>
      <c r="B113" s="14" t="s">
        <v>17</v>
      </c>
      <c r="C113" s="5">
        <v>46156</v>
      </c>
      <c r="D113" s="14" t="s">
        <v>12</v>
      </c>
      <c r="E113" s="19">
        <v>0</v>
      </c>
      <c r="F113" s="12">
        <v>30647.24</v>
      </c>
      <c r="G113" s="12">
        <f t="shared" si="1"/>
        <v>954695.95999999973</v>
      </c>
      <c r="H113" s="4" t="s">
        <v>53</v>
      </c>
    </row>
    <row r="114" spans="1:9" ht="9" customHeight="1" x14ac:dyDescent="0.25">
      <c r="A114" s="8">
        <v>27263066973</v>
      </c>
      <c r="B114" s="9" t="s">
        <v>13</v>
      </c>
      <c r="C114" s="5">
        <v>46156</v>
      </c>
      <c r="D114" s="9" t="s">
        <v>10</v>
      </c>
      <c r="E114" s="19">
        <v>459.71</v>
      </c>
      <c r="F114" s="12">
        <v>0</v>
      </c>
      <c r="G114" s="12">
        <f t="shared" si="1"/>
        <v>954236.24999999977</v>
      </c>
    </row>
    <row r="115" spans="1:9" ht="9" customHeight="1" x14ac:dyDescent="0.25">
      <c r="A115" s="13">
        <v>50955763453</v>
      </c>
      <c r="B115" s="14" t="s">
        <v>30</v>
      </c>
      <c r="C115" s="5">
        <v>46157</v>
      </c>
      <c r="D115" s="14" t="s">
        <v>12</v>
      </c>
      <c r="E115" s="19">
        <v>0</v>
      </c>
      <c r="F115" s="12">
        <v>30910.799999999999</v>
      </c>
      <c r="G115" s="12">
        <f t="shared" si="1"/>
        <v>985147.04999999981</v>
      </c>
      <c r="H115" s="4" t="s">
        <v>51</v>
      </c>
    </row>
    <row r="116" spans="1:9" ht="9" customHeight="1" x14ac:dyDescent="0.25">
      <c r="A116" s="8">
        <v>27255763453</v>
      </c>
      <c r="B116" s="9" t="s">
        <v>13</v>
      </c>
      <c r="C116" s="5">
        <v>46157</v>
      </c>
      <c r="D116" s="9" t="s">
        <v>10</v>
      </c>
      <c r="E116" s="19">
        <v>463.66</v>
      </c>
      <c r="F116" s="12">
        <v>0</v>
      </c>
      <c r="G116" s="12">
        <f t="shared" si="1"/>
        <v>984683.38999999978</v>
      </c>
    </row>
    <row r="117" spans="1:9" ht="9" customHeight="1" x14ac:dyDescent="0.25">
      <c r="A117" s="13">
        <v>329294883581</v>
      </c>
      <c r="B117" s="14" t="s">
        <v>37</v>
      </c>
      <c r="C117" s="5">
        <v>46158</v>
      </c>
      <c r="D117" s="14" t="s">
        <v>10</v>
      </c>
      <c r="E117" s="19">
        <v>51518</v>
      </c>
      <c r="F117" s="12">
        <v>0</v>
      </c>
      <c r="G117" s="12">
        <f t="shared" si="1"/>
        <v>933165.38999999978</v>
      </c>
      <c r="I117" s="4" t="s">
        <v>56</v>
      </c>
    </row>
    <row r="118" spans="1:9" ht="9" customHeight="1" x14ac:dyDescent="0.25">
      <c r="A118" s="8">
        <v>676294883581</v>
      </c>
      <c r="B118" s="9" t="s">
        <v>16</v>
      </c>
      <c r="C118" s="5">
        <v>46158</v>
      </c>
      <c r="D118" s="9" t="s">
        <v>10</v>
      </c>
      <c r="E118" s="19">
        <v>128.79</v>
      </c>
      <c r="F118" s="12">
        <v>0</v>
      </c>
      <c r="G118" s="12">
        <f t="shared" si="1"/>
        <v>933036.59999999974</v>
      </c>
    </row>
    <row r="119" spans="1:9" ht="9" customHeight="1" x14ac:dyDescent="0.25">
      <c r="A119" s="13">
        <v>50950729961</v>
      </c>
      <c r="B119" s="14" t="s">
        <v>11</v>
      </c>
      <c r="C119" s="5">
        <v>46159</v>
      </c>
      <c r="D119" s="14" t="s">
        <v>12</v>
      </c>
      <c r="E119" s="19">
        <v>0</v>
      </c>
      <c r="F119" s="12">
        <v>15540</v>
      </c>
      <c r="G119" s="12">
        <f t="shared" si="1"/>
        <v>948576.59999999974</v>
      </c>
      <c r="H119" s="4" t="s">
        <v>49</v>
      </c>
    </row>
    <row r="120" spans="1:9" ht="9" customHeight="1" x14ac:dyDescent="0.25">
      <c r="A120" s="8">
        <v>27250729961</v>
      </c>
      <c r="B120" s="9" t="s">
        <v>13</v>
      </c>
      <c r="C120" s="5">
        <v>46159</v>
      </c>
      <c r="D120" s="9" t="s">
        <v>10</v>
      </c>
      <c r="E120" s="19">
        <v>233.1</v>
      </c>
      <c r="F120" s="12">
        <v>0</v>
      </c>
      <c r="G120" s="12">
        <f t="shared" si="1"/>
        <v>948343.49999999977</v>
      </c>
    </row>
    <row r="121" spans="1:9" ht="9" customHeight="1" x14ac:dyDescent="0.2">
      <c r="A121" s="13">
        <v>597315579636</v>
      </c>
      <c r="B121" s="14" t="s">
        <v>38</v>
      </c>
      <c r="C121" s="5">
        <v>46160</v>
      </c>
      <c r="D121" s="14" t="s">
        <v>10</v>
      </c>
      <c r="E121" s="19">
        <v>36882</v>
      </c>
      <c r="F121" s="12">
        <v>0</v>
      </c>
      <c r="G121" s="12">
        <f t="shared" si="1"/>
        <v>911461.49999999977</v>
      </c>
      <c r="I121" s="32" t="s">
        <v>71</v>
      </c>
    </row>
    <row r="122" spans="1:9" ht="9" customHeight="1" x14ac:dyDescent="0.25">
      <c r="A122" s="8">
        <v>597315579636</v>
      </c>
      <c r="B122" s="9" t="s">
        <v>36</v>
      </c>
      <c r="C122" s="5">
        <v>46160</v>
      </c>
      <c r="D122" s="9" t="s">
        <v>10</v>
      </c>
      <c r="E122" s="19">
        <v>110.64</v>
      </c>
      <c r="F122" s="12">
        <v>0</v>
      </c>
      <c r="G122" s="12">
        <f t="shared" si="1"/>
        <v>911350.85999999975</v>
      </c>
    </row>
    <row r="123" spans="1:9" ht="9" customHeight="1" x14ac:dyDescent="0.25">
      <c r="A123" s="13">
        <v>50951037393</v>
      </c>
      <c r="B123" s="14" t="s">
        <v>11</v>
      </c>
      <c r="C123" s="5">
        <v>46160</v>
      </c>
      <c r="D123" s="14" t="s">
        <v>12</v>
      </c>
      <c r="E123" s="19">
        <v>0</v>
      </c>
      <c r="F123" s="12">
        <v>10000</v>
      </c>
      <c r="G123" s="12">
        <f t="shared" si="1"/>
        <v>921350.85999999975</v>
      </c>
    </row>
    <row r="124" spans="1:9" ht="9" customHeight="1" x14ac:dyDescent="0.25">
      <c r="A124" s="8">
        <v>27251037393</v>
      </c>
      <c r="B124" s="9" t="s">
        <v>13</v>
      </c>
      <c r="C124" s="5">
        <v>46160</v>
      </c>
      <c r="D124" s="9" t="s">
        <v>10</v>
      </c>
      <c r="E124" s="19">
        <v>150</v>
      </c>
      <c r="F124" s="12">
        <v>0</v>
      </c>
      <c r="G124" s="12">
        <f t="shared" si="1"/>
        <v>921200.85999999975</v>
      </c>
    </row>
    <row r="125" spans="1:9" ht="9" customHeight="1" x14ac:dyDescent="0.25">
      <c r="A125" s="13">
        <v>677291206293</v>
      </c>
      <c r="B125" s="14" t="s">
        <v>14</v>
      </c>
      <c r="C125" s="5">
        <v>46160</v>
      </c>
      <c r="D125" s="14" t="s">
        <v>12</v>
      </c>
      <c r="E125" s="19">
        <v>0</v>
      </c>
      <c r="F125" s="12">
        <v>41215</v>
      </c>
      <c r="G125" s="12">
        <f t="shared" si="1"/>
        <v>962415.85999999975</v>
      </c>
      <c r="H125" s="4" t="s">
        <v>52</v>
      </c>
    </row>
    <row r="126" spans="1:9" ht="9" customHeight="1" x14ac:dyDescent="0.25">
      <c r="A126" s="8">
        <v>210091206293</v>
      </c>
      <c r="B126" s="9" t="s">
        <v>15</v>
      </c>
      <c r="C126" s="5">
        <v>46160</v>
      </c>
      <c r="D126" s="9" t="s">
        <v>10</v>
      </c>
      <c r="E126" s="19">
        <v>618.23</v>
      </c>
      <c r="F126" s="12">
        <v>0</v>
      </c>
      <c r="G126" s="12">
        <f t="shared" si="1"/>
        <v>961797.62999999977</v>
      </c>
    </row>
    <row r="127" spans="1:9" ht="9" customHeight="1" x14ac:dyDescent="0.25">
      <c r="A127" s="20">
        <v>50951140287</v>
      </c>
      <c r="B127" s="14" t="s">
        <v>11</v>
      </c>
      <c r="C127" s="5">
        <v>46160</v>
      </c>
      <c r="D127" s="14" t="s">
        <v>12</v>
      </c>
      <c r="E127" s="19">
        <v>0</v>
      </c>
      <c r="F127" s="12">
        <v>51800</v>
      </c>
      <c r="G127" s="12">
        <f t="shared" si="1"/>
        <v>1013597.6299999998</v>
      </c>
      <c r="H127" s="4" t="s">
        <v>49</v>
      </c>
    </row>
    <row r="128" spans="1:9" ht="9" customHeight="1" x14ac:dyDescent="0.25">
      <c r="A128" s="8">
        <v>27251140287</v>
      </c>
      <c r="B128" s="9" t="s">
        <v>13</v>
      </c>
      <c r="C128" s="5">
        <v>46160</v>
      </c>
      <c r="D128" s="9" t="s">
        <v>10</v>
      </c>
      <c r="E128" s="19">
        <v>777</v>
      </c>
      <c r="F128" s="12">
        <v>0</v>
      </c>
      <c r="G128" s="12">
        <f t="shared" si="1"/>
        <v>1012820.6299999998</v>
      </c>
    </row>
    <row r="129" spans="1:10" ht="9" customHeight="1" x14ac:dyDescent="0.25">
      <c r="A129" s="13">
        <v>677291425606</v>
      </c>
      <c r="B129" s="14" t="s">
        <v>18</v>
      </c>
      <c r="C129" s="5">
        <v>46160</v>
      </c>
      <c r="D129" s="14" t="s">
        <v>12</v>
      </c>
      <c r="E129" s="19">
        <v>0</v>
      </c>
      <c r="F129" s="12">
        <v>103592.38</v>
      </c>
      <c r="G129" s="12">
        <f t="shared" si="1"/>
        <v>1116413.0099999998</v>
      </c>
      <c r="H129" s="4" t="s">
        <v>54</v>
      </c>
    </row>
    <row r="130" spans="1:10" ht="9" customHeight="1" x14ac:dyDescent="0.25">
      <c r="A130" s="8">
        <v>210091425606</v>
      </c>
      <c r="B130" s="9" t="s">
        <v>15</v>
      </c>
      <c r="C130" s="5">
        <v>46160</v>
      </c>
      <c r="D130" s="9" t="s">
        <v>10</v>
      </c>
      <c r="E130" s="19">
        <v>1553.89</v>
      </c>
      <c r="F130" s="12">
        <v>0</v>
      </c>
      <c r="G130" s="12">
        <f t="shared" si="1"/>
        <v>1114859.1199999999</v>
      </c>
    </row>
    <row r="131" spans="1:10" ht="9" customHeight="1" x14ac:dyDescent="0.25">
      <c r="A131" s="34">
        <v>597315596538</v>
      </c>
      <c r="B131" s="35" t="s">
        <v>72</v>
      </c>
      <c r="C131" s="36">
        <v>46161</v>
      </c>
      <c r="D131" s="35" t="s">
        <v>20</v>
      </c>
      <c r="E131" s="37">
        <v>21029.25</v>
      </c>
      <c r="F131" s="38">
        <v>0</v>
      </c>
      <c r="G131" s="38">
        <f t="shared" si="1"/>
        <v>1093829.8699999999</v>
      </c>
      <c r="H131" s="39"/>
      <c r="I131" s="39" t="s">
        <v>81</v>
      </c>
    </row>
    <row r="132" spans="1:10" ht="9" customHeight="1" x14ac:dyDescent="0.25">
      <c r="A132" s="8">
        <v>597315596538</v>
      </c>
      <c r="B132" s="9" t="s">
        <v>36</v>
      </c>
      <c r="C132" s="5">
        <v>46161</v>
      </c>
      <c r="D132" s="9" t="s">
        <v>10</v>
      </c>
      <c r="E132" s="19">
        <v>63.08</v>
      </c>
      <c r="F132" s="12">
        <v>0</v>
      </c>
      <c r="G132" s="12">
        <f t="shared" si="1"/>
        <v>1093766.7899999998</v>
      </c>
    </row>
    <row r="133" spans="1:10" ht="9" customHeight="1" x14ac:dyDescent="0.25">
      <c r="A133" s="13">
        <v>329295038248</v>
      </c>
      <c r="B133" s="14" t="s">
        <v>39</v>
      </c>
      <c r="C133" s="5">
        <v>46161</v>
      </c>
      <c r="D133" s="14" t="s">
        <v>10</v>
      </c>
      <c r="E133" s="19">
        <v>64745.24</v>
      </c>
      <c r="F133" s="12">
        <v>0</v>
      </c>
      <c r="G133" s="12">
        <f t="shared" ref="G133:G196" si="2">G132-E133+F133</f>
        <v>1029021.5499999998</v>
      </c>
      <c r="I133" s="4" t="s">
        <v>56</v>
      </c>
    </row>
    <row r="134" spans="1:10" ht="9" customHeight="1" x14ac:dyDescent="0.25">
      <c r="A134" s="8">
        <v>676295038248</v>
      </c>
      <c r="B134" s="9" t="s">
        <v>16</v>
      </c>
      <c r="C134" s="5">
        <v>46161</v>
      </c>
      <c r="D134" s="9" t="s">
        <v>10</v>
      </c>
      <c r="E134" s="19">
        <v>161.86000000000001</v>
      </c>
      <c r="F134" s="12">
        <v>0</v>
      </c>
      <c r="G134" s="12">
        <f t="shared" si="2"/>
        <v>1028859.6899999998</v>
      </c>
    </row>
    <row r="135" spans="1:10" ht="9" customHeight="1" x14ac:dyDescent="0.25">
      <c r="A135" s="13">
        <v>429715596822</v>
      </c>
      <c r="B135" s="14" t="s">
        <v>28</v>
      </c>
      <c r="C135" s="5">
        <v>46161</v>
      </c>
      <c r="D135" s="14" t="s">
        <v>10</v>
      </c>
      <c r="E135" s="19">
        <v>51796.19</v>
      </c>
      <c r="F135" s="12">
        <v>0</v>
      </c>
      <c r="G135" s="12">
        <f t="shared" si="2"/>
        <v>977063.49999999977</v>
      </c>
      <c r="I135" s="4" t="s">
        <v>65</v>
      </c>
    </row>
    <row r="136" spans="1:10" ht="9" customHeight="1" x14ac:dyDescent="0.25">
      <c r="A136" s="8">
        <v>429715596822</v>
      </c>
      <c r="B136" s="9" t="s">
        <v>29</v>
      </c>
      <c r="C136" s="5">
        <v>46161</v>
      </c>
      <c r="D136" s="9" t="s">
        <v>10</v>
      </c>
      <c r="E136" s="19">
        <v>155.38</v>
      </c>
      <c r="F136" s="12">
        <v>0</v>
      </c>
      <c r="G136" s="12">
        <f t="shared" si="2"/>
        <v>976908.11999999976</v>
      </c>
    </row>
    <row r="137" spans="1:10" ht="9" customHeight="1" x14ac:dyDescent="0.25">
      <c r="A137" s="34">
        <v>329295038529</v>
      </c>
      <c r="B137" s="35" t="s">
        <v>76</v>
      </c>
      <c r="C137" s="36">
        <v>46161</v>
      </c>
      <c r="D137" s="35" t="s">
        <v>20</v>
      </c>
      <c r="E137" s="37">
        <v>62155.43</v>
      </c>
      <c r="F137" s="38">
        <v>0</v>
      </c>
      <c r="G137" s="38">
        <f t="shared" si="2"/>
        <v>914752.68999999971</v>
      </c>
      <c r="H137" s="39"/>
      <c r="I137" s="39" t="s">
        <v>78</v>
      </c>
      <c r="J137" s="40"/>
    </row>
    <row r="138" spans="1:10" ht="9" customHeight="1" x14ac:dyDescent="0.25">
      <c r="A138" s="8">
        <v>676295038529</v>
      </c>
      <c r="B138" s="9" t="s">
        <v>16</v>
      </c>
      <c r="C138" s="5">
        <v>46161</v>
      </c>
      <c r="D138" s="9" t="s">
        <v>10</v>
      </c>
      <c r="E138" s="19">
        <v>155.38</v>
      </c>
      <c r="F138" s="12">
        <v>0</v>
      </c>
      <c r="G138" s="12">
        <f t="shared" si="2"/>
        <v>914597.30999999971</v>
      </c>
    </row>
    <row r="139" spans="1:10" ht="9" customHeight="1" x14ac:dyDescent="0.25">
      <c r="A139" s="34">
        <v>329295041684</v>
      </c>
      <c r="B139" s="35" t="s">
        <v>73</v>
      </c>
      <c r="C139" s="36">
        <v>46161</v>
      </c>
      <c r="D139" s="35" t="s">
        <v>20</v>
      </c>
      <c r="E139" s="37">
        <v>33667.519999999997</v>
      </c>
      <c r="F139" s="38">
        <v>0</v>
      </c>
      <c r="G139" s="38">
        <f t="shared" si="2"/>
        <v>880929.78999999969</v>
      </c>
      <c r="H139" s="39"/>
      <c r="I139" s="39" t="s">
        <v>79</v>
      </c>
    </row>
    <row r="140" spans="1:10" ht="9" customHeight="1" x14ac:dyDescent="0.25">
      <c r="A140" s="8">
        <v>676295041684</v>
      </c>
      <c r="B140" s="9" t="s">
        <v>16</v>
      </c>
      <c r="C140" s="5">
        <v>46161</v>
      </c>
      <c r="D140" s="9" t="s">
        <v>10</v>
      </c>
      <c r="E140" s="19">
        <v>84.16</v>
      </c>
      <c r="F140" s="12">
        <v>0</v>
      </c>
      <c r="G140" s="12">
        <f t="shared" si="2"/>
        <v>880845.62999999966</v>
      </c>
    </row>
    <row r="141" spans="1:10" ht="9" customHeight="1" x14ac:dyDescent="0.25">
      <c r="A141" s="20">
        <v>677292880923</v>
      </c>
      <c r="B141" s="14" t="s">
        <v>14</v>
      </c>
      <c r="C141" s="5">
        <v>46161</v>
      </c>
      <c r="D141" s="14" t="s">
        <v>12</v>
      </c>
      <c r="E141" s="19">
        <v>0</v>
      </c>
      <c r="F141" s="12">
        <v>46617</v>
      </c>
      <c r="G141" s="12">
        <f t="shared" si="2"/>
        <v>927462.62999999966</v>
      </c>
      <c r="H141" s="4" t="s">
        <v>52</v>
      </c>
    </row>
    <row r="142" spans="1:10" ht="9" customHeight="1" x14ac:dyDescent="0.25">
      <c r="A142" s="8">
        <v>210092880923</v>
      </c>
      <c r="B142" s="9" t="s">
        <v>15</v>
      </c>
      <c r="C142" s="5">
        <v>46161</v>
      </c>
      <c r="D142" s="9" t="s">
        <v>10</v>
      </c>
      <c r="E142" s="19">
        <v>699.26</v>
      </c>
      <c r="F142" s="12">
        <v>0</v>
      </c>
      <c r="G142" s="12">
        <f t="shared" si="2"/>
        <v>926763.36999999965</v>
      </c>
    </row>
    <row r="143" spans="1:10" ht="9" customHeight="1" x14ac:dyDescent="0.25">
      <c r="A143" s="13">
        <v>677293128715</v>
      </c>
      <c r="B143" s="14" t="s">
        <v>14</v>
      </c>
      <c r="C143" s="5">
        <v>46161</v>
      </c>
      <c r="D143" s="14" t="s">
        <v>12</v>
      </c>
      <c r="E143" s="19">
        <v>0</v>
      </c>
      <c r="F143" s="12">
        <v>5180</v>
      </c>
      <c r="G143" s="12">
        <f t="shared" si="2"/>
        <v>931943.36999999965</v>
      </c>
      <c r="H143" s="4" t="s">
        <v>52</v>
      </c>
    </row>
    <row r="144" spans="1:10" ht="9" customHeight="1" x14ac:dyDescent="0.25">
      <c r="A144" s="8">
        <v>210093128715</v>
      </c>
      <c r="B144" s="9" t="s">
        <v>15</v>
      </c>
      <c r="C144" s="5">
        <v>46161</v>
      </c>
      <c r="D144" s="9" t="s">
        <v>10</v>
      </c>
      <c r="E144" s="19">
        <v>77.7</v>
      </c>
      <c r="F144" s="12">
        <v>0</v>
      </c>
      <c r="G144" s="12">
        <f t="shared" si="2"/>
        <v>931865.66999999969</v>
      </c>
    </row>
    <row r="145" spans="1:9" ht="9" customHeight="1" x14ac:dyDescent="0.25">
      <c r="A145" s="13">
        <v>429715607299</v>
      </c>
      <c r="B145" s="14" t="s">
        <v>40</v>
      </c>
      <c r="C145" s="5">
        <v>46161</v>
      </c>
      <c r="D145" s="14" t="s">
        <v>10</v>
      </c>
      <c r="E145" s="19">
        <v>51796.19</v>
      </c>
      <c r="F145" s="12">
        <v>0</v>
      </c>
      <c r="G145" s="12">
        <f t="shared" si="2"/>
        <v>880069.47999999975</v>
      </c>
      <c r="I145" s="4" t="s">
        <v>70</v>
      </c>
    </row>
    <row r="146" spans="1:9" ht="9" customHeight="1" x14ac:dyDescent="0.25">
      <c r="A146" s="8">
        <v>429715607299</v>
      </c>
      <c r="B146" s="9" t="s">
        <v>29</v>
      </c>
      <c r="C146" s="5">
        <v>46161</v>
      </c>
      <c r="D146" s="9" t="s">
        <v>10</v>
      </c>
      <c r="E146" s="19">
        <v>155.38</v>
      </c>
      <c r="F146" s="12">
        <v>0</v>
      </c>
      <c r="G146" s="12">
        <f t="shared" si="2"/>
        <v>879914.09999999974</v>
      </c>
    </row>
    <row r="147" spans="1:9" ht="9" customHeight="1" x14ac:dyDescent="0.25">
      <c r="A147" s="13">
        <v>677294158494</v>
      </c>
      <c r="B147" s="14" t="s">
        <v>14</v>
      </c>
      <c r="C147" s="5">
        <v>46162</v>
      </c>
      <c r="D147" s="14" t="s">
        <v>12</v>
      </c>
      <c r="E147" s="19">
        <v>0</v>
      </c>
      <c r="F147" s="12">
        <v>15539</v>
      </c>
      <c r="G147" s="12">
        <f t="shared" si="2"/>
        <v>895453.09999999974</v>
      </c>
      <c r="H147" s="4" t="s">
        <v>52</v>
      </c>
    </row>
    <row r="148" spans="1:9" ht="9" customHeight="1" x14ac:dyDescent="0.25">
      <c r="A148" s="8">
        <v>210094158494</v>
      </c>
      <c r="B148" s="9" t="s">
        <v>15</v>
      </c>
      <c r="C148" s="5">
        <v>46162</v>
      </c>
      <c r="D148" s="9" t="s">
        <v>10</v>
      </c>
      <c r="E148" s="19">
        <v>233.08</v>
      </c>
      <c r="F148" s="12">
        <v>0</v>
      </c>
      <c r="G148" s="12">
        <f t="shared" si="2"/>
        <v>895220.01999999979</v>
      </c>
    </row>
    <row r="149" spans="1:9" ht="9" customHeight="1" x14ac:dyDescent="0.25">
      <c r="A149" s="13">
        <v>429715616002</v>
      </c>
      <c r="B149" s="14" t="s">
        <v>31</v>
      </c>
      <c r="C149" s="5">
        <v>46162</v>
      </c>
      <c r="D149" s="14" t="s">
        <v>10</v>
      </c>
      <c r="E149" s="19">
        <v>175205</v>
      </c>
      <c r="F149" s="12">
        <v>0</v>
      </c>
      <c r="G149" s="12">
        <f t="shared" si="2"/>
        <v>720015.01999999979</v>
      </c>
      <c r="I149" s="4" t="s">
        <v>66</v>
      </c>
    </row>
    <row r="150" spans="1:9" ht="9" customHeight="1" x14ac:dyDescent="0.25">
      <c r="A150" s="8">
        <v>429715616002</v>
      </c>
      <c r="B150" s="9" t="s">
        <v>29</v>
      </c>
      <c r="C150" s="5">
        <v>46162</v>
      </c>
      <c r="D150" s="9" t="s">
        <v>10</v>
      </c>
      <c r="E150" s="19">
        <v>525.61</v>
      </c>
      <c r="F150" s="12">
        <v>0</v>
      </c>
      <c r="G150" s="12">
        <f t="shared" si="2"/>
        <v>719489.4099999998</v>
      </c>
    </row>
    <row r="151" spans="1:9" ht="9" customHeight="1" x14ac:dyDescent="0.25">
      <c r="A151" s="13">
        <v>592340005967</v>
      </c>
      <c r="B151" s="14" t="s">
        <v>41</v>
      </c>
      <c r="C151" s="5">
        <v>46162</v>
      </c>
      <c r="D151" s="14" t="s">
        <v>10</v>
      </c>
      <c r="E151" s="19">
        <v>11187.98</v>
      </c>
      <c r="F151" s="12">
        <v>0</v>
      </c>
      <c r="G151" s="12">
        <f t="shared" si="2"/>
        <v>708301.42999999982</v>
      </c>
      <c r="I151" s="4" t="s">
        <v>67</v>
      </c>
    </row>
    <row r="152" spans="1:9" ht="9" customHeight="1" x14ac:dyDescent="0.25">
      <c r="A152" s="8">
        <v>677295940930</v>
      </c>
      <c r="B152" s="9" t="s">
        <v>18</v>
      </c>
      <c r="C152" s="5">
        <v>46163</v>
      </c>
      <c r="D152" s="9" t="s">
        <v>12</v>
      </c>
      <c r="E152" s="19">
        <v>0</v>
      </c>
      <c r="F152" s="12">
        <v>63551.53</v>
      </c>
      <c r="G152" s="12">
        <f t="shared" si="2"/>
        <v>771852.95999999985</v>
      </c>
      <c r="H152" s="4" t="s">
        <v>54</v>
      </c>
    </row>
    <row r="153" spans="1:9" ht="9" customHeight="1" x14ac:dyDescent="0.25">
      <c r="A153" s="13">
        <v>210095940930</v>
      </c>
      <c r="B153" s="14" t="s">
        <v>15</v>
      </c>
      <c r="C153" s="5">
        <v>46163</v>
      </c>
      <c r="D153" s="14" t="s">
        <v>10</v>
      </c>
      <c r="E153" s="19">
        <v>953.27</v>
      </c>
      <c r="F153" s="12">
        <v>0</v>
      </c>
      <c r="G153" s="12">
        <f t="shared" si="2"/>
        <v>770899.68999999983</v>
      </c>
    </row>
    <row r="154" spans="1:9" ht="9" customHeight="1" x14ac:dyDescent="0.2">
      <c r="A154" s="8">
        <v>329295456502</v>
      </c>
      <c r="B154" s="9" t="s">
        <v>42</v>
      </c>
      <c r="C154" s="5">
        <v>46163</v>
      </c>
      <c r="D154" s="9" t="s">
        <v>10</v>
      </c>
      <c r="E154" s="23">
        <v>27897</v>
      </c>
      <c r="F154" s="12">
        <v>0</v>
      </c>
      <c r="G154" s="12">
        <f t="shared" si="2"/>
        <v>743002.68999999983</v>
      </c>
      <c r="I154" s="32" t="s">
        <v>59</v>
      </c>
    </row>
    <row r="155" spans="1:9" ht="9" customHeight="1" x14ac:dyDescent="0.25">
      <c r="A155" s="20">
        <v>676295456502</v>
      </c>
      <c r="B155" s="14" t="s">
        <v>16</v>
      </c>
      <c r="C155" s="5">
        <v>46163</v>
      </c>
      <c r="D155" s="14" t="s">
        <v>10</v>
      </c>
      <c r="E155" s="19">
        <v>69.739999999999995</v>
      </c>
      <c r="F155" s="12">
        <v>0</v>
      </c>
      <c r="G155" s="12">
        <f t="shared" si="2"/>
        <v>742932.94999999984</v>
      </c>
    </row>
    <row r="156" spans="1:9" ht="9" customHeight="1" x14ac:dyDescent="0.25">
      <c r="A156" s="8">
        <v>677298824775</v>
      </c>
      <c r="B156" s="9" t="s">
        <v>14</v>
      </c>
      <c r="C156" s="5">
        <v>46164</v>
      </c>
      <c r="D156" s="9" t="s">
        <v>12</v>
      </c>
      <c r="E156" s="19">
        <v>0</v>
      </c>
      <c r="F156" s="12">
        <v>15539</v>
      </c>
      <c r="G156" s="12">
        <f t="shared" si="2"/>
        <v>758471.94999999984</v>
      </c>
      <c r="H156" s="4" t="s">
        <v>52</v>
      </c>
    </row>
    <row r="157" spans="1:9" ht="9" customHeight="1" x14ac:dyDescent="0.25">
      <c r="A157" s="13">
        <v>210098824775</v>
      </c>
      <c r="B157" s="14" t="s">
        <v>15</v>
      </c>
      <c r="C157" s="5">
        <v>46164</v>
      </c>
      <c r="D157" s="14" t="s">
        <v>10</v>
      </c>
      <c r="E157" s="19">
        <v>233.08</v>
      </c>
      <c r="F157" s="12">
        <v>0</v>
      </c>
      <c r="G157" s="12">
        <f t="shared" si="2"/>
        <v>758238.86999999988</v>
      </c>
    </row>
    <row r="158" spans="1:9" ht="9" customHeight="1" x14ac:dyDescent="0.25">
      <c r="A158" s="8">
        <v>50971708122</v>
      </c>
      <c r="B158" s="9" t="s">
        <v>17</v>
      </c>
      <c r="C158" s="5">
        <v>46164</v>
      </c>
      <c r="D158" s="9" t="s">
        <v>12</v>
      </c>
      <c r="E158" s="19">
        <v>0</v>
      </c>
      <c r="F158" s="12">
        <v>36880.86</v>
      </c>
      <c r="G158" s="12">
        <f t="shared" si="2"/>
        <v>795119.72999999986</v>
      </c>
      <c r="H158" s="4" t="s">
        <v>53</v>
      </c>
    </row>
    <row r="159" spans="1:9" ht="9" customHeight="1" x14ac:dyDescent="0.25">
      <c r="A159" s="13">
        <v>27271708122</v>
      </c>
      <c r="B159" s="14" t="s">
        <v>13</v>
      </c>
      <c r="C159" s="5">
        <v>46164</v>
      </c>
      <c r="D159" s="14" t="s">
        <v>10</v>
      </c>
      <c r="E159" s="19">
        <v>553.21</v>
      </c>
      <c r="F159" s="12">
        <v>0</v>
      </c>
      <c r="G159" s="12">
        <f t="shared" si="2"/>
        <v>794566.5199999999</v>
      </c>
    </row>
    <row r="160" spans="1:9" ht="9" customHeight="1" x14ac:dyDescent="0.25">
      <c r="A160" s="8">
        <v>50952536596</v>
      </c>
      <c r="B160" s="9" t="s">
        <v>11</v>
      </c>
      <c r="C160" s="5">
        <v>46165</v>
      </c>
      <c r="D160" s="9" t="s">
        <v>12</v>
      </c>
      <c r="E160" s="19">
        <v>0</v>
      </c>
      <c r="F160" s="12">
        <v>31830</v>
      </c>
      <c r="G160" s="12">
        <f t="shared" si="2"/>
        <v>826396.5199999999</v>
      </c>
      <c r="H160" s="4" t="s">
        <v>49</v>
      </c>
    </row>
    <row r="161" spans="1:11" ht="9" customHeight="1" x14ac:dyDescent="0.25">
      <c r="A161" s="13">
        <v>27252536596</v>
      </c>
      <c r="B161" s="14" t="s">
        <v>13</v>
      </c>
      <c r="C161" s="5">
        <v>46165</v>
      </c>
      <c r="D161" s="14" t="s">
        <v>10</v>
      </c>
      <c r="E161" s="19">
        <v>477.45</v>
      </c>
      <c r="F161" s="12">
        <v>0</v>
      </c>
      <c r="G161" s="12">
        <f t="shared" si="2"/>
        <v>825919.07</v>
      </c>
    </row>
    <row r="162" spans="1:11" ht="9" customHeight="1" x14ac:dyDescent="0.2">
      <c r="A162" s="8">
        <v>429715666687</v>
      </c>
      <c r="B162" s="9" t="s">
        <v>43</v>
      </c>
      <c r="C162" s="5">
        <v>46165</v>
      </c>
      <c r="D162" s="9" t="s">
        <v>10</v>
      </c>
      <c r="E162" s="19">
        <v>122075</v>
      </c>
      <c r="F162" s="12">
        <v>0</v>
      </c>
      <c r="G162" s="12">
        <f t="shared" si="2"/>
        <v>703844.07</v>
      </c>
      <c r="I162" s="32" t="s">
        <v>59</v>
      </c>
      <c r="K162" s="33">
        <v>8</v>
      </c>
    </row>
    <row r="163" spans="1:11" ht="9" customHeight="1" x14ac:dyDescent="0.25">
      <c r="A163" s="13">
        <v>429715666687</v>
      </c>
      <c r="B163" s="14" t="s">
        <v>29</v>
      </c>
      <c r="C163" s="5">
        <v>46165</v>
      </c>
      <c r="D163" s="14" t="s">
        <v>10</v>
      </c>
      <c r="E163" s="19">
        <v>366.22</v>
      </c>
      <c r="F163" s="12">
        <v>0</v>
      </c>
      <c r="G163" s="12">
        <f t="shared" si="2"/>
        <v>703477.85</v>
      </c>
    </row>
    <row r="164" spans="1:11" ht="9" customHeight="1" x14ac:dyDescent="0.25">
      <c r="A164" s="8">
        <v>50972743021</v>
      </c>
      <c r="B164" s="9" t="s">
        <v>17</v>
      </c>
      <c r="C164" s="5">
        <v>46165</v>
      </c>
      <c r="D164" s="9" t="s">
        <v>12</v>
      </c>
      <c r="E164" s="19">
        <v>0</v>
      </c>
      <c r="F164" s="12">
        <v>37135.33</v>
      </c>
      <c r="G164" s="12">
        <f t="shared" si="2"/>
        <v>740613.17999999993</v>
      </c>
      <c r="H164" s="4" t="s">
        <v>53</v>
      </c>
    </row>
    <row r="165" spans="1:11" ht="9" customHeight="1" x14ac:dyDescent="0.25">
      <c r="A165" s="13">
        <v>27272743021</v>
      </c>
      <c r="B165" s="14" t="s">
        <v>13</v>
      </c>
      <c r="C165" s="5">
        <v>46165</v>
      </c>
      <c r="D165" s="14" t="s">
        <v>10</v>
      </c>
      <c r="E165" s="19">
        <v>557.03</v>
      </c>
      <c r="F165" s="12">
        <v>0</v>
      </c>
      <c r="G165" s="12">
        <f t="shared" si="2"/>
        <v>740056.14999999991</v>
      </c>
    </row>
    <row r="166" spans="1:11" ht="9" customHeight="1" x14ac:dyDescent="0.25">
      <c r="A166" s="8">
        <v>677203364481</v>
      </c>
      <c r="B166" s="9" t="s">
        <v>18</v>
      </c>
      <c r="C166" s="5">
        <v>46166</v>
      </c>
      <c r="D166" s="9" t="s">
        <v>12</v>
      </c>
      <c r="E166" s="19">
        <v>0</v>
      </c>
      <c r="F166" s="12">
        <v>63660.56</v>
      </c>
      <c r="G166" s="12">
        <f t="shared" si="2"/>
        <v>803716.71</v>
      </c>
      <c r="H166" s="4" t="s">
        <v>54</v>
      </c>
    </row>
    <row r="167" spans="1:11" ht="9" customHeight="1" x14ac:dyDescent="0.25">
      <c r="A167" s="13">
        <v>210003364481</v>
      </c>
      <c r="B167" s="14" t="s">
        <v>15</v>
      </c>
      <c r="C167" s="5">
        <v>46166</v>
      </c>
      <c r="D167" s="14" t="s">
        <v>10</v>
      </c>
      <c r="E167" s="19">
        <v>954.91</v>
      </c>
      <c r="F167" s="12">
        <v>0</v>
      </c>
      <c r="G167" s="12">
        <f t="shared" si="2"/>
        <v>802761.79999999993</v>
      </c>
    </row>
    <row r="168" spans="1:11" ht="9" customHeight="1" x14ac:dyDescent="0.25">
      <c r="A168" s="8">
        <v>50953038637</v>
      </c>
      <c r="B168" s="9" t="s">
        <v>11</v>
      </c>
      <c r="C168" s="5">
        <v>46166</v>
      </c>
      <c r="D168" s="9" t="s">
        <v>12</v>
      </c>
      <c r="E168" s="19">
        <v>0</v>
      </c>
      <c r="F168" s="12">
        <v>26530</v>
      </c>
      <c r="G168" s="12">
        <f t="shared" si="2"/>
        <v>829291.79999999993</v>
      </c>
      <c r="H168" s="4" t="s">
        <v>49</v>
      </c>
    </row>
    <row r="169" spans="1:11" ht="9" customHeight="1" x14ac:dyDescent="0.25">
      <c r="A169" s="20">
        <v>27253038637</v>
      </c>
      <c r="B169" s="14" t="s">
        <v>13</v>
      </c>
      <c r="C169" s="5">
        <v>46166</v>
      </c>
      <c r="D169" s="14" t="s">
        <v>10</v>
      </c>
      <c r="E169" s="19">
        <v>397.95</v>
      </c>
      <c r="F169" s="12">
        <v>0</v>
      </c>
      <c r="G169" s="12">
        <f t="shared" si="2"/>
        <v>828893.85</v>
      </c>
    </row>
    <row r="170" spans="1:11" ht="9" customHeight="1" x14ac:dyDescent="0.25">
      <c r="A170" s="8">
        <v>50973571685</v>
      </c>
      <c r="B170" s="9" t="s">
        <v>17</v>
      </c>
      <c r="C170" s="5">
        <v>46166</v>
      </c>
      <c r="D170" s="9" t="s">
        <v>12</v>
      </c>
      <c r="E170" s="19">
        <v>0</v>
      </c>
      <c r="F170" s="12">
        <v>42440.38</v>
      </c>
      <c r="G170" s="12">
        <f t="shared" si="2"/>
        <v>871334.23</v>
      </c>
      <c r="H170" s="4" t="s">
        <v>53</v>
      </c>
      <c r="I170" s="12">
        <v>43076.49</v>
      </c>
      <c r="J170" s="24">
        <f>I170-F170</f>
        <v>636.11000000000058</v>
      </c>
    </row>
    <row r="171" spans="1:11" ht="9" customHeight="1" x14ac:dyDescent="0.25">
      <c r="A171" s="13">
        <v>27273571685</v>
      </c>
      <c r="B171" s="14" t="s">
        <v>13</v>
      </c>
      <c r="C171" s="5">
        <v>46166</v>
      </c>
      <c r="D171" s="14" t="s">
        <v>10</v>
      </c>
      <c r="E171" s="19">
        <v>636.61</v>
      </c>
      <c r="F171" s="12">
        <v>0</v>
      </c>
      <c r="G171" s="12">
        <f t="shared" si="2"/>
        <v>870697.62</v>
      </c>
    </row>
    <row r="172" spans="1:11" ht="9" customHeight="1" x14ac:dyDescent="0.25">
      <c r="A172" s="8">
        <v>677205454000</v>
      </c>
      <c r="B172" s="9" t="s">
        <v>14</v>
      </c>
      <c r="C172" s="5">
        <v>46167</v>
      </c>
      <c r="D172" s="9" t="s">
        <v>12</v>
      </c>
      <c r="E172" s="19">
        <v>0</v>
      </c>
      <c r="F172" s="12">
        <v>79576</v>
      </c>
      <c r="G172" s="12">
        <f t="shared" si="2"/>
        <v>950273.62</v>
      </c>
      <c r="H172" s="4" t="s">
        <v>52</v>
      </c>
    </row>
    <row r="173" spans="1:11" ht="9" customHeight="1" x14ac:dyDescent="0.25">
      <c r="A173" s="13">
        <v>210005454000</v>
      </c>
      <c r="B173" s="14" t="s">
        <v>15</v>
      </c>
      <c r="C173" s="5">
        <v>46167</v>
      </c>
      <c r="D173" s="14" t="s">
        <v>10</v>
      </c>
      <c r="E173" s="19">
        <v>1193.6400000000001</v>
      </c>
      <c r="F173" s="12">
        <v>0</v>
      </c>
      <c r="G173" s="12">
        <f t="shared" si="2"/>
        <v>949079.98</v>
      </c>
    </row>
    <row r="174" spans="1:11" ht="9" customHeight="1" x14ac:dyDescent="0.25">
      <c r="A174" s="8">
        <v>329298960321</v>
      </c>
      <c r="B174" s="9" t="s">
        <v>44</v>
      </c>
      <c r="C174" s="5">
        <v>46167</v>
      </c>
      <c r="D174" s="9" t="s">
        <v>10</v>
      </c>
      <c r="E174" s="19">
        <v>53050</v>
      </c>
      <c r="F174" s="12">
        <v>0</v>
      </c>
      <c r="G174" s="12">
        <f t="shared" si="2"/>
        <v>896029.98</v>
      </c>
      <c r="I174" s="4" t="s">
        <v>56</v>
      </c>
    </row>
    <row r="175" spans="1:11" ht="9" customHeight="1" x14ac:dyDescent="0.25">
      <c r="A175" s="13">
        <v>676298960321</v>
      </c>
      <c r="B175" s="14" t="s">
        <v>16</v>
      </c>
      <c r="C175" s="5">
        <v>46167</v>
      </c>
      <c r="D175" s="14" t="s">
        <v>10</v>
      </c>
      <c r="E175" s="19">
        <v>132.62</v>
      </c>
      <c r="F175" s="12">
        <v>0</v>
      </c>
      <c r="G175" s="12">
        <f t="shared" si="2"/>
        <v>895897.36</v>
      </c>
    </row>
    <row r="176" spans="1:11" ht="9" customHeight="1" x14ac:dyDescent="0.25">
      <c r="A176" s="8">
        <v>429715685325</v>
      </c>
      <c r="B176" s="9" t="s">
        <v>28</v>
      </c>
      <c r="C176" s="5">
        <v>46167</v>
      </c>
      <c r="D176" s="9" t="s">
        <v>10</v>
      </c>
      <c r="E176" s="19">
        <v>52317.68</v>
      </c>
      <c r="F176" s="12">
        <v>0</v>
      </c>
      <c r="G176" s="12">
        <f t="shared" si="2"/>
        <v>843579.67999999993</v>
      </c>
      <c r="I176" s="4" t="s">
        <v>65</v>
      </c>
    </row>
    <row r="177" spans="1:10" ht="9" customHeight="1" x14ac:dyDescent="0.25">
      <c r="A177" s="13">
        <v>429715685325</v>
      </c>
      <c r="B177" s="14" t="s">
        <v>29</v>
      </c>
      <c r="C177" s="5">
        <v>46167</v>
      </c>
      <c r="D177" s="14" t="s">
        <v>10</v>
      </c>
      <c r="E177" s="19">
        <v>156.94999999999999</v>
      </c>
      <c r="F177" s="12">
        <v>0</v>
      </c>
      <c r="G177" s="12">
        <f t="shared" si="2"/>
        <v>843422.73</v>
      </c>
    </row>
    <row r="178" spans="1:10" ht="9" customHeight="1" x14ac:dyDescent="0.25">
      <c r="A178" s="8">
        <v>50953305767</v>
      </c>
      <c r="B178" s="9" t="s">
        <v>11</v>
      </c>
      <c r="C178" s="5">
        <v>46167</v>
      </c>
      <c r="D178" s="9" t="s">
        <v>12</v>
      </c>
      <c r="E178" s="19">
        <v>0</v>
      </c>
      <c r="F178" s="12">
        <v>68000</v>
      </c>
      <c r="G178" s="12">
        <f t="shared" si="2"/>
        <v>911422.73</v>
      </c>
      <c r="H178" s="4" t="s">
        <v>49</v>
      </c>
    </row>
    <row r="179" spans="1:10" ht="9" customHeight="1" x14ac:dyDescent="0.25">
      <c r="A179" s="13">
        <v>27253305767</v>
      </c>
      <c r="B179" s="14" t="s">
        <v>13</v>
      </c>
      <c r="C179" s="5">
        <v>46167</v>
      </c>
      <c r="D179" s="14" t="s">
        <v>10</v>
      </c>
      <c r="E179" s="19">
        <v>1020</v>
      </c>
      <c r="F179" s="12">
        <v>0</v>
      </c>
      <c r="G179" s="12">
        <f t="shared" si="2"/>
        <v>910402.73</v>
      </c>
    </row>
    <row r="180" spans="1:10" ht="9" customHeight="1" x14ac:dyDescent="0.25">
      <c r="A180" s="34">
        <v>429715687904</v>
      </c>
      <c r="B180" s="35" t="s">
        <v>77</v>
      </c>
      <c r="C180" s="36">
        <v>46167</v>
      </c>
      <c r="D180" s="35" t="s">
        <v>20</v>
      </c>
      <c r="E180" s="37">
        <v>30769</v>
      </c>
      <c r="F180" s="38">
        <v>0</v>
      </c>
      <c r="G180" s="38">
        <f t="shared" si="2"/>
        <v>879633.73</v>
      </c>
      <c r="H180" s="39"/>
      <c r="I180" s="39" t="s">
        <v>80</v>
      </c>
    </row>
    <row r="181" spans="1:10" ht="9" customHeight="1" x14ac:dyDescent="0.25">
      <c r="A181" s="13">
        <v>429715687904</v>
      </c>
      <c r="B181" s="14" t="s">
        <v>29</v>
      </c>
      <c r="C181" s="5">
        <v>46167</v>
      </c>
      <c r="D181" s="14" t="s">
        <v>10</v>
      </c>
      <c r="E181" s="19">
        <v>92.3</v>
      </c>
      <c r="F181" s="12">
        <v>0</v>
      </c>
      <c r="G181" s="12">
        <f t="shared" si="2"/>
        <v>879541.42999999993</v>
      </c>
    </row>
    <row r="182" spans="1:10" ht="9" customHeight="1" x14ac:dyDescent="0.25">
      <c r="A182" s="8">
        <v>677206134926</v>
      </c>
      <c r="B182" s="9" t="s">
        <v>18</v>
      </c>
      <c r="C182" s="5">
        <v>46167</v>
      </c>
      <c r="D182" s="9" t="s">
        <v>12</v>
      </c>
      <c r="E182" s="19">
        <v>0</v>
      </c>
      <c r="F182" s="12">
        <v>58355.519999999997</v>
      </c>
      <c r="G182" s="12">
        <f t="shared" si="2"/>
        <v>937896.95</v>
      </c>
      <c r="H182" s="4" t="s">
        <v>54</v>
      </c>
      <c r="I182" s="12">
        <v>58335.519999999997</v>
      </c>
      <c r="J182" s="24">
        <f>F182-I182</f>
        <v>20</v>
      </c>
    </row>
    <row r="183" spans="1:10" ht="9" customHeight="1" x14ac:dyDescent="0.25">
      <c r="A183" s="20">
        <v>210006134926</v>
      </c>
      <c r="B183" s="14" t="s">
        <v>15</v>
      </c>
      <c r="C183" s="5">
        <v>46167</v>
      </c>
      <c r="D183" s="14" t="s">
        <v>10</v>
      </c>
      <c r="E183" s="19">
        <v>875.33</v>
      </c>
      <c r="F183" s="12">
        <v>0</v>
      </c>
      <c r="G183" s="12">
        <f t="shared" si="2"/>
        <v>937021.62</v>
      </c>
    </row>
    <row r="184" spans="1:10" ht="9" customHeight="1" x14ac:dyDescent="0.25">
      <c r="A184" s="8">
        <v>677206136298</v>
      </c>
      <c r="B184" s="9" t="s">
        <v>14</v>
      </c>
      <c r="C184" s="5">
        <v>46167</v>
      </c>
      <c r="D184" s="9" t="s">
        <v>12</v>
      </c>
      <c r="E184" s="19">
        <v>0</v>
      </c>
      <c r="F184" s="12">
        <v>10080</v>
      </c>
      <c r="G184" s="12">
        <f t="shared" si="2"/>
        <v>947101.62</v>
      </c>
      <c r="H184" s="4" t="s">
        <v>52</v>
      </c>
    </row>
    <row r="185" spans="1:10" ht="9" customHeight="1" x14ac:dyDescent="0.25">
      <c r="A185" s="13">
        <v>210006136298</v>
      </c>
      <c r="B185" s="14" t="s">
        <v>15</v>
      </c>
      <c r="C185" s="5">
        <v>46167</v>
      </c>
      <c r="D185" s="14" t="s">
        <v>10</v>
      </c>
      <c r="E185" s="19">
        <v>151.19999999999999</v>
      </c>
      <c r="F185" s="12">
        <v>0</v>
      </c>
      <c r="G185" s="12">
        <f t="shared" si="2"/>
        <v>946950.42</v>
      </c>
    </row>
    <row r="186" spans="1:10" ht="9" customHeight="1" x14ac:dyDescent="0.25">
      <c r="A186" s="8">
        <v>50974591951</v>
      </c>
      <c r="B186" s="9" t="s">
        <v>17</v>
      </c>
      <c r="C186" s="5">
        <v>46167</v>
      </c>
      <c r="D186" s="9" t="s">
        <v>12</v>
      </c>
      <c r="E186" s="19">
        <v>0</v>
      </c>
      <c r="F186" s="12">
        <v>37135.33</v>
      </c>
      <c r="G186" s="12">
        <f t="shared" si="2"/>
        <v>984085.75</v>
      </c>
      <c r="H186" s="4" t="s">
        <v>53</v>
      </c>
      <c r="I186" s="12">
        <v>37692.36</v>
      </c>
      <c r="J186" s="24">
        <f>I186-F186</f>
        <v>557.02999999999884</v>
      </c>
    </row>
    <row r="187" spans="1:10" ht="9" customHeight="1" x14ac:dyDescent="0.25">
      <c r="A187" s="13">
        <v>27274591951</v>
      </c>
      <c r="B187" s="14" t="s">
        <v>13</v>
      </c>
      <c r="C187" s="5">
        <v>46167</v>
      </c>
      <c r="D187" s="14" t="s">
        <v>10</v>
      </c>
      <c r="E187" s="19">
        <v>557.03</v>
      </c>
      <c r="F187" s="12">
        <v>0</v>
      </c>
      <c r="G187" s="12">
        <f t="shared" si="2"/>
        <v>983528.72</v>
      </c>
    </row>
    <row r="188" spans="1:10" ht="9" customHeight="1" x14ac:dyDescent="0.25">
      <c r="A188" s="34">
        <v>429715690983</v>
      </c>
      <c r="B188" s="35" t="s">
        <v>74</v>
      </c>
      <c r="C188" s="36">
        <v>46168</v>
      </c>
      <c r="D188" s="35" t="s">
        <v>20</v>
      </c>
      <c r="E188" s="37">
        <v>24327.91</v>
      </c>
      <c r="F188" s="38">
        <v>0</v>
      </c>
      <c r="G188" s="38">
        <f t="shared" si="2"/>
        <v>959200.80999999994</v>
      </c>
      <c r="H188" s="39"/>
      <c r="I188" s="39" t="s">
        <v>82</v>
      </c>
    </row>
    <row r="189" spans="1:10" ht="9" customHeight="1" x14ac:dyDescent="0.25">
      <c r="A189" s="13">
        <v>429715690983</v>
      </c>
      <c r="B189" s="14" t="s">
        <v>29</v>
      </c>
      <c r="C189" s="5">
        <v>46168</v>
      </c>
      <c r="D189" s="14" t="s">
        <v>10</v>
      </c>
      <c r="E189" s="19">
        <v>72.98</v>
      </c>
      <c r="F189" s="12">
        <v>0</v>
      </c>
      <c r="G189" s="12">
        <f t="shared" si="2"/>
        <v>959127.83</v>
      </c>
    </row>
    <row r="190" spans="1:10" ht="9" customHeight="1" x14ac:dyDescent="0.25">
      <c r="A190" s="8">
        <v>677206861790</v>
      </c>
      <c r="B190" s="9" t="s">
        <v>14</v>
      </c>
      <c r="C190" s="5">
        <v>46168</v>
      </c>
      <c r="D190" s="9" t="s">
        <v>12</v>
      </c>
      <c r="E190" s="19">
        <v>0</v>
      </c>
      <c r="F190" s="12">
        <v>16062</v>
      </c>
      <c r="G190" s="12">
        <f t="shared" si="2"/>
        <v>975189.83</v>
      </c>
      <c r="H190" s="4" t="s">
        <v>52</v>
      </c>
    </row>
    <row r="191" spans="1:10" ht="9" customHeight="1" x14ac:dyDescent="0.25">
      <c r="A191" s="13">
        <v>210006861790</v>
      </c>
      <c r="B191" s="14" t="s">
        <v>15</v>
      </c>
      <c r="C191" s="5">
        <v>46168</v>
      </c>
      <c r="D191" s="14" t="s">
        <v>10</v>
      </c>
      <c r="E191" s="19">
        <v>240.93</v>
      </c>
      <c r="F191" s="12">
        <v>0</v>
      </c>
      <c r="G191" s="12">
        <f t="shared" si="2"/>
        <v>974948.89999999991</v>
      </c>
    </row>
    <row r="192" spans="1:10" ht="9" customHeight="1" x14ac:dyDescent="0.25">
      <c r="A192" s="8">
        <v>50953488760</v>
      </c>
      <c r="B192" s="9" t="s">
        <v>11</v>
      </c>
      <c r="C192" s="5">
        <v>46168</v>
      </c>
      <c r="D192" s="9" t="s">
        <v>12</v>
      </c>
      <c r="E192" s="19">
        <v>0</v>
      </c>
      <c r="F192" s="12">
        <v>16061</v>
      </c>
      <c r="G192" s="12">
        <f t="shared" si="2"/>
        <v>991009.89999999991</v>
      </c>
      <c r="H192" s="4" t="s">
        <v>49</v>
      </c>
    </row>
    <row r="193" spans="1:10" ht="9" customHeight="1" x14ac:dyDescent="0.25">
      <c r="A193" s="13">
        <v>27253488760</v>
      </c>
      <c r="B193" s="14" t="s">
        <v>13</v>
      </c>
      <c r="C193" s="5">
        <v>46168</v>
      </c>
      <c r="D193" s="14" t="s">
        <v>10</v>
      </c>
      <c r="E193" s="19">
        <v>240.92</v>
      </c>
      <c r="F193" s="12">
        <v>0</v>
      </c>
      <c r="G193" s="12">
        <f t="shared" si="2"/>
        <v>990768.97999999986</v>
      </c>
    </row>
    <row r="194" spans="1:10" ht="9" customHeight="1" x14ac:dyDescent="0.25">
      <c r="A194" s="51">
        <v>329299137669</v>
      </c>
      <c r="B194" s="52" t="s">
        <v>89</v>
      </c>
      <c r="C194" s="46">
        <v>46168</v>
      </c>
      <c r="D194" s="52" t="s">
        <v>20</v>
      </c>
      <c r="E194" s="43">
        <v>112430.91</v>
      </c>
      <c r="F194" s="49">
        <v>0</v>
      </c>
      <c r="G194" s="49">
        <f t="shared" si="2"/>
        <v>878338.06999999983</v>
      </c>
      <c r="H194" s="50"/>
      <c r="I194" s="50" t="s">
        <v>68</v>
      </c>
      <c r="J194" s="50"/>
    </row>
    <row r="195" spans="1:10" ht="9" customHeight="1" x14ac:dyDescent="0.25">
      <c r="A195" s="13">
        <v>676299137669</v>
      </c>
      <c r="B195" s="14" t="s">
        <v>16</v>
      </c>
      <c r="C195" s="5">
        <v>46168</v>
      </c>
      <c r="D195" s="14" t="s">
        <v>10</v>
      </c>
      <c r="E195" s="19">
        <v>281.07</v>
      </c>
      <c r="F195" s="12">
        <v>0</v>
      </c>
      <c r="G195" s="12">
        <f t="shared" si="2"/>
        <v>878056.99999999988</v>
      </c>
    </row>
    <row r="196" spans="1:10" ht="9" customHeight="1" x14ac:dyDescent="0.25">
      <c r="A196" s="8">
        <v>677209613643</v>
      </c>
      <c r="B196" s="9" t="s">
        <v>14</v>
      </c>
      <c r="C196" s="5">
        <v>46169</v>
      </c>
      <c r="D196" s="9" t="s">
        <v>12</v>
      </c>
      <c r="E196" s="19">
        <v>0</v>
      </c>
      <c r="F196" s="12">
        <v>16742</v>
      </c>
      <c r="G196" s="12">
        <f t="shared" si="2"/>
        <v>894798.99999999988</v>
      </c>
      <c r="H196" s="4" t="s">
        <v>52</v>
      </c>
    </row>
    <row r="197" spans="1:10" ht="9" customHeight="1" x14ac:dyDescent="0.25">
      <c r="A197" s="20">
        <v>210009613643</v>
      </c>
      <c r="B197" s="14" t="s">
        <v>15</v>
      </c>
      <c r="C197" s="5">
        <v>46169</v>
      </c>
      <c r="D197" s="14" t="s">
        <v>10</v>
      </c>
      <c r="E197" s="19">
        <v>251.13</v>
      </c>
      <c r="F197" s="12">
        <v>0</v>
      </c>
      <c r="G197" s="12">
        <f t="shared" ref="G197:G251" si="3">G196-E197+F197</f>
        <v>894547.86999999988</v>
      </c>
    </row>
    <row r="198" spans="1:10" ht="9" customHeight="1" x14ac:dyDescent="0.25">
      <c r="A198" s="8">
        <v>677210326385</v>
      </c>
      <c r="B198" s="9" t="s">
        <v>14</v>
      </c>
      <c r="C198" s="5">
        <v>46169</v>
      </c>
      <c r="D198" s="9" t="s">
        <v>12</v>
      </c>
      <c r="E198" s="19">
        <v>0</v>
      </c>
      <c r="F198" s="12">
        <v>16202</v>
      </c>
      <c r="G198" s="12">
        <f t="shared" si="3"/>
        <v>910749.86999999988</v>
      </c>
      <c r="H198" s="4" t="s">
        <v>52</v>
      </c>
    </row>
    <row r="199" spans="1:10" ht="9" customHeight="1" x14ac:dyDescent="0.25">
      <c r="A199" s="13">
        <v>210010326385</v>
      </c>
      <c r="B199" s="14" t="s">
        <v>15</v>
      </c>
      <c r="C199" s="5">
        <v>46169</v>
      </c>
      <c r="D199" s="14" t="s">
        <v>10</v>
      </c>
      <c r="E199" s="19">
        <v>243.03</v>
      </c>
      <c r="F199" s="12">
        <v>0</v>
      </c>
      <c r="G199" s="12">
        <f t="shared" si="3"/>
        <v>910506.83999999985</v>
      </c>
    </row>
    <row r="200" spans="1:10" ht="9" customHeight="1" x14ac:dyDescent="0.25">
      <c r="A200" s="8">
        <v>50976413008</v>
      </c>
      <c r="B200" s="9" t="s">
        <v>17</v>
      </c>
      <c r="C200" s="5">
        <v>46169</v>
      </c>
      <c r="D200" s="9" t="s">
        <v>12</v>
      </c>
      <c r="E200" s="19">
        <v>0</v>
      </c>
      <c r="F200" s="12">
        <v>43203.45</v>
      </c>
      <c r="G200" s="12">
        <f t="shared" si="3"/>
        <v>953710.2899999998</v>
      </c>
      <c r="H200" s="4" t="s">
        <v>53</v>
      </c>
      <c r="I200" s="12">
        <v>43851.5</v>
      </c>
      <c r="J200" s="24">
        <f>I200-F200</f>
        <v>648.05000000000291</v>
      </c>
    </row>
    <row r="201" spans="1:10" ht="9" customHeight="1" x14ac:dyDescent="0.25">
      <c r="A201" s="13">
        <v>27276413008</v>
      </c>
      <c r="B201" s="14" t="s">
        <v>13</v>
      </c>
      <c r="C201" s="5">
        <v>46169</v>
      </c>
      <c r="D201" s="14" t="s">
        <v>10</v>
      </c>
      <c r="E201" s="19">
        <v>648.04999999999995</v>
      </c>
      <c r="F201" s="12">
        <v>0</v>
      </c>
      <c r="G201" s="12">
        <f t="shared" si="3"/>
        <v>953062.23999999976</v>
      </c>
    </row>
    <row r="202" spans="1:10" ht="9" customHeight="1" x14ac:dyDescent="0.25">
      <c r="A202" s="8">
        <v>677210938141</v>
      </c>
      <c r="B202" s="9" t="s">
        <v>18</v>
      </c>
      <c r="C202" s="5">
        <v>46170</v>
      </c>
      <c r="D202" s="9" t="s">
        <v>12</v>
      </c>
      <c r="E202" s="19">
        <v>0</v>
      </c>
      <c r="F202" s="12">
        <v>39209.72</v>
      </c>
      <c r="G202" s="12">
        <f t="shared" si="3"/>
        <v>992271.95999999973</v>
      </c>
      <c r="H202" s="4" t="s">
        <v>54</v>
      </c>
      <c r="J202" s="4" t="s">
        <v>55</v>
      </c>
    </row>
    <row r="203" spans="1:10" ht="9" customHeight="1" x14ac:dyDescent="0.25">
      <c r="A203" s="13">
        <v>210010938141</v>
      </c>
      <c r="B203" s="14" t="s">
        <v>15</v>
      </c>
      <c r="C203" s="5">
        <v>46170</v>
      </c>
      <c r="D203" s="14" t="s">
        <v>10</v>
      </c>
      <c r="E203" s="19">
        <v>588.15</v>
      </c>
      <c r="F203" s="12">
        <v>0</v>
      </c>
      <c r="G203" s="12">
        <f t="shared" si="3"/>
        <v>991683.80999999971</v>
      </c>
    </row>
    <row r="204" spans="1:10" ht="9" customHeight="1" x14ac:dyDescent="0.25">
      <c r="A204" s="8">
        <v>429715725406</v>
      </c>
      <c r="B204" s="9" t="s">
        <v>40</v>
      </c>
      <c r="C204" s="5">
        <v>46170</v>
      </c>
      <c r="D204" s="9" t="s">
        <v>10</v>
      </c>
      <c r="E204" s="19">
        <v>54457.94</v>
      </c>
      <c r="F204" s="12">
        <v>0</v>
      </c>
      <c r="G204" s="12">
        <f t="shared" si="3"/>
        <v>937225.86999999965</v>
      </c>
      <c r="I204" s="4" t="s">
        <v>70</v>
      </c>
    </row>
    <row r="205" spans="1:10" ht="9" customHeight="1" x14ac:dyDescent="0.25">
      <c r="A205" s="13">
        <v>429715725406</v>
      </c>
      <c r="B205" s="14" t="s">
        <v>29</v>
      </c>
      <c r="C205" s="5">
        <v>46170</v>
      </c>
      <c r="D205" s="14" t="s">
        <v>10</v>
      </c>
      <c r="E205" s="19">
        <v>163.37</v>
      </c>
      <c r="F205" s="12">
        <v>0</v>
      </c>
      <c r="G205" s="12">
        <f t="shared" si="3"/>
        <v>937062.49999999965</v>
      </c>
    </row>
    <row r="206" spans="1:10" ht="9" customHeight="1" x14ac:dyDescent="0.25">
      <c r="A206" s="51">
        <v>329299337601</v>
      </c>
      <c r="B206" s="52" t="s">
        <v>90</v>
      </c>
      <c r="C206" s="46">
        <v>46170</v>
      </c>
      <c r="D206" s="52" t="s">
        <v>20</v>
      </c>
      <c r="E206" s="43">
        <v>54457.94</v>
      </c>
      <c r="F206" s="49">
        <v>0</v>
      </c>
      <c r="G206" s="49">
        <f t="shared" si="3"/>
        <v>882604.55999999959</v>
      </c>
      <c r="H206" s="50"/>
      <c r="I206" s="50" t="s">
        <v>68</v>
      </c>
      <c r="J206" s="50"/>
    </row>
    <row r="207" spans="1:10" ht="9" customHeight="1" x14ac:dyDescent="0.25">
      <c r="A207" s="13">
        <v>676299337601</v>
      </c>
      <c r="B207" s="14" t="s">
        <v>16</v>
      </c>
      <c r="C207" s="5">
        <v>46170</v>
      </c>
      <c r="D207" s="14" t="s">
        <v>10</v>
      </c>
      <c r="E207" s="19">
        <v>136.13999999999999</v>
      </c>
      <c r="F207" s="12">
        <v>0</v>
      </c>
      <c r="G207" s="12">
        <f t="shared" si="3"/>
        <v>882468.41999999958</v>
      </c>
    </row>
    <row r="208" spans="1:10" ht="9" customHeight="1" x14ac:dyDescent="0.25">
      <c r="A208" s="8">
        <v>429715726745</v>
      </c>
      <c r="B208" s="9" t="s">
        <v>45</v>
      </c>
      <c r="C208" s="5">
        <v>46170</v>
      </c>
      <c r="D208" s="9" t="s">
        <v>10</v>
      </c>
      <c r="E208" s="19">
        <v>13614.49</v>
      </c>
      <c r="F208" s="12">
        <v>0</v>
      </c>
      <c r="G208" s="12">
        <f t="shared" si="3"/>
        <v>868853.92999999959</v>
      </c>
      <c r="I208" s="4" t="s">
        <v>69</v>
      </c>
    </row>
    <row r="209" spans="1:13" ht="9" customHeight="1" x14ac:dyDescent="0.25">
      <c r="A209" s="13">
        <v>429715726745</v>
      </c>
      <c r="B209" s="14" t="s">
        <v>29</v>
      </c>
      <c r="C209" s="5">
        <v>46170</v>
      </c>
      <c r="D209" s="14" t="s">
        <v>10</v>
      </c>
      <c r="E209" s="19">
        <v>40.840000000000003</v>
      </c>
      <c r="F209" s="12">
        <v>0</v>
      </c>
      <c r="G209" s="12">
        <f t="shared" si="3"/>
        <v>868813.08999999962</v>
      </c>
    </row>
    <row r="210" spans="1:13" ht="9" customHeight="1" x14ac:dyDescent="0.25">
      <c r="A210" s="8">
        <v>677212095629</v>
      </c>
      <c r="B210" s="9" t="s">
        <v>14</v>
      </c>
      <c r="C210" s="5">
        <v>46170</v>
      </c>
      <c r="D210" s="9" t="s">
        <v>12</v>
      </c>
      <c r="E210" s="19">
        <v>0</v>
      </c>
      <c r="F210" s="12">
        <v>10892</v>
      </c>
      <c r="G210" s="12">
        <f t="shared" si="3"/>
        <v>879705.08999999962</v>
      </c>
      <c r="H210" s="4" t="s">
        <v>52</v>
      </c>
    </row>
    <row r="211" spans="1:13" ht="9" customHeight="1" x14ac:dyDescent="0.25">
      <c r="A211" s="20">
        <v>210012095629</v>
      </c>
      <c r="B211" s="14" t="s">
        <v>15</v>
      </c>
      <c r="C211" s="5">
        <v>46170</v>
      </c>
      <c r="D211" s="14" t="s">
        <v>10</v>
      </c>
      <c r="E211" s="19">
        <v>163.38</v>
      </c>
      <c r="F211" s="12">
        <v>0</v>
      </c>
      <c r="G211" s="12">
        <f t="shared" si="3"/>
        <v>879541.70999999961</v>
      </c>
    </row>
    <row r="212" spans="1:13" ht="9" customHeight="1" x14ac:dyDescent="0.25">
      <c r="A212" s="8">
        <v>50977285346</v>
      </c>
      <c r="B212" s="9" t="s">
        <v>17</v>
      </c>
      <c r="C212" s="5">
        <v>46170</v>
      </c>
      <c r="D212" s="9" t="s">
        <v>12</v>
      </c>
      <c r="E212" s="19">
        <v>0</v>
      </c>
      <c r="F212" s="12">
        <v>38120.559999999998</v>
      </c>
      <c r="G212" s="12">
        <f t="shared" si="3"/>
        <v>917662.26999999955</v>
      </c>
      <c r="H212" s="4" t="s">
        <v>53</v>
      </c>
    </row>
    <row r="213" spans="1:13" ht="9" customHeight="1" x14ac:dyDescent="0.25">
      <c r="A213" s="13">
        <v>27277285346</v>
      </c>
      <c r="B213" s="14" t="s">
        <v>13</v>
      </c>
      <c r="C213" s="5">
        <v>46170</v>
      </c>
      <c r="D213" s="14" t="s">
        <v>10</v>
      </c>
      <c r="E213" s="19">
        <v>571.80999999999995</v>
      </c>
      <c r="F213" s="12">
        <v>0</v>
      </c>
      <c r="G213" s="12">
        <f t="shared" si="3"/>
        <v>917090.4599999995</v>
      </c>
    </row>
    <row r="214" spans="1:13" ht="9" customHeight="1" x14ac:dyDescent="0.25">
      <c r="A214" s="8">
        <v>50977285388</v>
      </c>
      <c r="B214" s="9" t="s">
        <v>17</v>
      </c>
      <c r="C214" s="5">
        <v>46170</v>
      </c>
      <c r="D214" s="9" t="s">
        <v>12</v>
      </c>
      <c r="E214" s="19">
        <v>0</v>
      </c>
      <c r="F214" s="12">
        <v>38120.559999999998</v>
      </c>
      <c r="G214" s="12">
        <f t="shared" si="3"/>
        <v>955211.01999999955</v>
      </c>
    </row>
    <row r="215" spans="1:13" ht="9" customHeight="1" x14ac:dyDescent="0.25">
      <c r="A215" s="13">
        <v>27277285388</v>
      </c>
      <c r="B215" s="14" t="s">
        <v>13</v>
      </c>
      <c r="C215" s="5">
        <v>46170</v>
      </c>
      <c r="D215" s="14" t="s">
        <v>10</v>
      </c>
      <c r="E215" s="19">
        <v>571.80999999999995</v>
      </c>
      <c r="F215" s="12">
        <v>0</v>
      </c>
      <c r="G215" s="12">
        <f t="shared" si="3"/>
        <v>954639.2099999995</v>
      </c>
    </row>
    <row r="216" spans="1:13" ht="9" customHeight="1" x14ac:dyDescent="0.25">
      <c r="A216" s="8">
        <v>50954424361</v>
      </c>
      <c r="B216" s="9" t="s">
        <v>11</v>
      </c>
      <c r="C216" s="5">
        <v>46171</v>
      </c>
      <c r="D216" s="9" t="s">
        <v>12</v>
      </c>
      <c r="E216" s="19">
        <v>0</v>
      </c>
      <c r="F216" s="12">
        <v>16482</v>
      </c>
      <c r="G216" s="12">
        <f t="shared" si="3"/>
        <v>971121.2099999995</v>
      </c>
      <c r="H216" s="4" t="s">
        <v>49</v>
      </c>
    </row>
    <row r="217" spans="1:13" ht="9" customHeight="1" x14ac:dyDescent="0.25">
      <c r="A217" s="13">
        <v>27254424361</v>
      </c>
      <c r="B217" s="14" t="s">
        <v>13</v>
      </c>
      <c r="C217" s="5">
        <v>46171</v>
      </c>
      <c r="D217" s="14" t="s">
        <v>10</v>
      </c>
      <c r="E217" s="19">
        <v>247.23</v>
      </c>
      <c r="F217" s="12">
        <v>0</v>
      </c>
      <c r="G217" s="12">
        <f t="shared" si="3"/>
        <v>970873.97999999952</v>
      </c>
    </row>
    <row r="218" spans="1:13" ht="9" customHeight="1" x14ac:dyDescent="0.25">
      <c r="A218" s="8">
        <v>677213091554</v>
      </c>
      <c r="B218" s="9" t="s">
        <v>14</v>
      </c>
      <c r="C218" s="5">
        <v>46171</v>
      </c>
      <c r="D218" s="9" t="s">
        <v>12</v>
      </c>
      <c r="E218" s="19">
        <v>0</v>
      </c>
      <c r="F218" s="12">
        <v>21975</v>
      </c>
      <c r="G218" s="12">
        <f t="shared" si="3"/>
        <v>992848.97999999952</v>
      </c>
      <c r="H218" s="4" t="s">
        <v>52</v>
      </c>
    </row>
    <row r="219" spans="1:13" ht="9" customHeight="1" x14ac:dyDescent="0.25">
      <c r="A219" s="13">
        <v>210013091554</v>
      </c>
      <c r="B219" s="14" t="s">
        <v>15</v>
      </c>
      <c r="C219" s="5">
        <v>46171</v>
      </c>
      <c r="D219" s="14" t="s">
        <v>10</v>
      </c>
      <c r="E219" s="19">
        <v>329.63</v>
      </c>
      <c r="F219" s="12">
        <v>0</v>
      </c>
      <c r="G219" s="12">
        <f t="shared" si="3"/>
        <v>992519.34999999951</v>
      </c>
    </row>
    <row r="220" spans="1:13" ht="9" customHeight="1" x14ac:dyDescent="0.25">
      <c r="A220" s="8">
        <v>50999134636</v>
      </c>
      <c r="B220" s="9" t="s">
        <v>30</v>
      </c>
      <c r="C220" s="5">
        <v>46171</v>
      </c>
      <c r="D220" s="9" t="s">
        <v>12</v>
      </c>
      <c r="E220" s="19">
        <v>0</v>
      </c>
      <c r="F220" s="12">
        <v>31975</v>
      </c>
      <c r="G220" s="12">
        <f t="shared" si="3"/>
        <v>1024494.3499999995</v>
      </c>
      <c r="H220" s="4" t="s">
        <v>51</v>
      </c>
    </row>
    <row r="221" spans="1:13" ht="9" customHeight="1" x14ac:dyDescent="0.25">
      <c r="A221" s="13">
        <v>27299134636</v>
      </c>
      <c r="B221" s="14" t="s">
        <v>13</v>
      </c>
      <c r="C221" s="5">
        <v>46171</v>
      </c>
      <c r="D221" s="14" t="s">
        <v>10</v>
      </c>
      <c r="E221" s="19">
        <v>479.63</v>
      </c>
      <c r="F221" s="12">
        <v>0</v>
      </c>
      <c r="G221" s="12">
        <f t="shared" si="3"/>
        <v>1024014.7199999995</v>
      </c>
    </row>
    <row r="222" spans="1:13" ht="9" customHeight="1" x14ac:dyDescent="0.25">
      <c r="A222" s="8">
        <v>50956027869</v>
      </c>
      <c r="B222" s="9" t="s">
        <v>46</v>
      </c>
      <c r="C222" s="5">
        <v>46171</v>
      </c>
      <c r="D222" s="9" t="s">
        <v>12</v>
      </c>
      <c r="E222" s="19">
        <v>0</v>
      </c>
      <c r="F222" s="12">
        <v>22000</v>
      </c>
      <c r="G222" s="12">
        <f t="shared" si="3"/>
        <v>1046014.7199999995</v>
      </c>
    </row>
    <row r="223" spans="1:13" ht="9" customHeight="1" x14ac:dyDescent="0.25">
      <c r="A223" s="13">
        <v>27256027869</v>
      </c>
      <c r="B223" s="14" t="s">
        <v>13</v>
      </c>
      <c r="C223" s="5">
        <v>46171</v>
      </c>
      <c r="D223" s="14" t="s">
        <v>10</v>
      </c>
      <c r="E223" s="19">
        <v>330</v>
      </c>
      <c r="F223" s="12">
        <v>0</v>
      </c>
      <c r="G223" s="12">
        <f t="shared" si="3"/>
        <v>1045684.7199999995</v>
      </c>
    </row>
    <row r="224" spans="1:13" ht="9" customHeight="1" x14ac:dyDescent="0.2">
      <c r="A224" s="8">
        <v>429715759974</v>
      </c>
      <c r="B224" s="9" t="s">
        <v>43</v>
      </c>
      <c r="C224" s="5">
        <v>46171</v>
      </c>
      <c r="D224" s="9" t="s">
        <v>10</v>
      </c>
      <c r="E224" s="19">
        <v>140000</v>
      </c>
      <c r="F224" s="12">
        <v>0</v>
      </c>
      <c r="G224" s="12">
        <f t="shared" si="3"/>
        <v>905684.71999999951</v>
      </c>
      <c r="I224" s="32" t="s">
        <v>59</v>
      </c>
      <c r="K224" s="33">
        <v>8</v>
      </c>
      <c r="L224" s="25">
        <v>68269</v>
      </c>
      <c r="M224" s="4" t="s">
        <v>60</v>
      </c>
    </row>
    <row r="225" spans="1:10" ht="9" customHeight="1" x14ac:dyDescent="0.25">
      <c r="A225" s="20">
        <v>429715759974</v>
      </c>
      <c r="B225" s="14" t="s">
        <v>29</v>
      </c>
      <c r="C225" s="5">
        <v>46171</v>
      </c>
      <c r="D225" s="14" t="s">
        <v>10</v>
      </c>
      <c r="E225" s="19">
        <v>420</v>
      </c>
      <c r="F225" s="12">
        <v>0</v>
      </c>
      <c r="G225" s="12">
        <f t="shared" si="3"/>
        <v>905264.71999999951</v>
      </c>
    </row>
    <row r="226" spans="1:10" ht="9" customHeight="1" x14ac:dyDescent="0.25">
      <c r="A226" s="8">
        <v>50958027877</v>
      </c>
      <c r="B226" s="9" t="s">
        <v>46</v>
      </c>
      <c r="C226" s="5">
        <v>46171</v>
      </c>
      <c r="D226" s="9" t="s">
        <v>12</v>
      </c>
      <c r="E226" s="19">
        <v>0</v>
      </c>
      <c r="F226" s="12">
        <v>11000</v>
      </c>
      <c r="G226" s="12">
        <f t="shared" si="3"/>
        <v>916264.71999999951</v>
      </c>
      <c r="H226" s="4" t="s">
        <v>49</v>
      </c>
    </row>
    <row r="227" spans="1:10" ht="9" customHeight="1" x14ac:dyDescent="0.25">
      <c r="A227" s="13">
        <v>27258027877</v>
      </c>
      <c r="B227" s="14" t="s">
        <v>13</v>
      </c>
      <c r="C227" s="5">
        <v>46171</v>
      </c>
      <c r="D227" s="14" t="s">
        <v>10</v>
      </c>
      <c r="E227" s="19">
        <v>165</v>
      </c>
      <c r="F227" s="12">
        <v>0</v>
      </c>
      <c r="G227" s="12">
        <f t="shared" si="3"/>
        <v>916099.71999999951</v>
      </c>
    </row>
    <row r="228" spans="1:10" ht="9" customHeight="1" x14ac:dyDescent="0.25">
      <c r="A228" s="8">
        <v>677214846842</v>
      </c>
      <c r="B228" s="9" t="s">
        <v>18</v>
      </c>
      <c r="C228" s="5">
        <v>46171</v>
      </c>
      <c r="D228" s="9" t="s">
        <v>12</v>
      </c>
      <c r="E228" s="19">
        <v>0</v>
      </c>
      <c r="F228" s="12">
        <v>65924.59</v>
      </c>
      <c r="G228" s="12">
        <f t="shared" si="3"/>
        <v>982024.30999999947</v>
      </c>
      <c r="H228" s="4" t="s">
        <v>54</v>
      </c>
    </row>
    <row r="229" spans="1:10" ht="9" customHeight="1" x14ac:dyDescent="0.25">
      <c r="A229" s="13">
        <v>210014846842</v>
      </c>
      <c r="B229" s="14" t="s">
        <v>15</v>
      </c>
      <c r="C229" s="5">
        <v>46171</v>
      </c>
      <c r="D229" s="14" t="s">
        <v>10</v>
      </c>
      <c r="E229" s="19">
        <v>988.87</v>
      </c>
      <c r="F229" s="12">
        <v>0</v>
      </c>
      <c r="G229" s="12">
        <f t="shared" si="3"/>
        <v>981035.43999999948</v>
      </c>
    </row>
    <row r="230" spans="1:10" ht="9" customHeight="1" x14ac:dyDescent="0.25">
      <c r="A230" s="8">
        <v>50978754556</v>
      </c>
      <c r="B230" s="9" t="s">
        <v>17</v>
      </c>
      <c r="C230" s="5">
        <v>46171</v>
      </c>
      <c r="D230" s="9" t="s">
        <v>12</v>
      </c>
      <c r="E230" s="19">
        <v>0</v>
      </c>
      <c r="F230" s="12">
        <v>54937.16</v>
      </c>
      <c r="G230" s="12">
        <f t="shared" si="3"/>
        <v>1035972.5999999995</v>
      </c>
      <c r="H230" s="4" t="s">
        <v>53</v>
      </c>
      <c r="I230" s="12">
        <v>55761.22</v>
      </c>
      <c r="J230" s="24">
        <f>I230-F230</f>
        <v>824.05999999999767</v>
      </c>
    </row>
    <row r="231" spans="1:10" ht="9" customHeight="1" x14ac:dyDescent="0.25">
      <c r="A231" s="13">
        <v>27278754556</v>
      </c>
      <c r="B231" s="14" t="s">
        <v>13</v>
      </c>
      <c r="C231" s="5">
        <v>46171</v>
      </c>
      <c r="D231" s="14" t="s">
        <v>10</v>
      </c>
      <c r="E231" s="19">
        <v>824.06</v>
      </c>
      <c r="F231" s="12">
        <v>0</v>
      </c>
      <c r="G231" s="12">
        <f t="shared" si="3"/>
        <v>1035148.5399999995</v>
      </c>
      <c r="I231" s="12"/>
    </row>
    <row r="232" spans="1:10" ht="9" customHeight="1" x14ac:dyDescent="0.25">
      <c r="A232" s="8">
        <v>50902055148</v>
      </c>
      <c r="B232" s="9" t="s">
        <v>47</v>
      </c>
      <c r="C232" s="5">
        <v>46172</v>
      </c>
      <c r="D232" s="9" t="s">
        <v>12</v>
      </c>
      <c r="E232" s="19">
        <v>0</v>
      </c>
      <c r="F232" s="12">
        <v>110000</v>
      </c>
      <c r="G232" s="12">
        <f t="shared" si="3"/>
        <v>1145148.5399999996</v>
      </c>
      <c r="H232" s="4" t="s">
        <v>49</v>
      </c>
      <c r="I232" s="12"/>
    </row>
    <row r="233" spans="1:10" ht="9" customHeight="1" x14ac:dyDescent="0.25">
      <c r="A233" s="13">
        <v>27202055148</v>
      </c>
      <c r="B233" s="14" t="s">
        <v>13</v>
      </c>
      <c r="C233" s="5">
        <v>46172</v>
      </c>
      <c r="D233" s="14" t="s">
        <v>10</v>
      </c>
      <c r="E233" s="19">
        <v>1650</v>
      </c>
      <c r="F233" s="12">
        <v>0</v>
      </c>
      <c r="G233" s="12">
        <f t="shared" si="3"/>
        <v>1143498.5399999996</v>
      </c>
      <c r="I233" s="12"/>
    </row>
    <row r="234" spans="1:10" ht="9" customHeight="1" x14ac:dyDescent="0.25">
      <c r="A234" s="8">
        <v>677216553185</v>
      </c>
      <c r="B234" s="9" t="s">
        <v>14</v>
      </c>
      <c r="C234" s="5">
        <v>46172</v>
      </c>
      <c r="D234" s="9" t="s">
        <v>12</v>
      </c>
      <c r="E234" s="19">
        <v>0</v>
      </c>
      <c r="F234" s="12">
        <v>38457</v>
      </c>
      <c r="G234" s="12">
        <f t="shared" si="3"/>
        <v>1181955.5399999996</v>
      </c>
      <c r="H234" s="4" t="s">
        <v>52</v>
      </c>
      <c r="I234" s="12"/>
    </row>
    <row r="235" spans="1:10" ht="9" customHeight="1" x14ac:dyDescent="0.25">
      <c r="A235" s="13">
        <v>210016553185</v>
      </c>
      <c r="B235" s="14" t="s">
        <v>15</v>
      </c>
      <c r="C235" s="5">
        <v>46172</v>
      </c>
      <c r="D235" s="14" t="s">
        <v>10</v>
      </c>
      <c r="E235" s="19">
        <v>576.86</v>
      </c>
      <c r="F235" s="12">
        <v>0</v>
      </c>
      <c r="G235" s="12">
        <f t="shared" si="3"/>
        <v>1181378.6799999995</v>
      </c>
      <c r="I235" s="12"/>
    </row>
    <row r="236" spans="1:10" ht="9" customHeight="1" x14ac:dyDescent="0.25">
      <c r="A236" s="8">
        <v>50959027892</v>
      </c>
      <c r="B236" s="9" t="s">
        <v>46</v>
      </c>
      <c r="C236" s="5">
        <v>46172</v>
      </c>
      <c r="D236" s="9" t="s">
        <v>12</v>
      </c>
      <c r="E236" s="19">
        <v>0</v>
      </c>
      <c r="F236" s="12">
        <v>11100</v>
      </c>
      <c r="G236" s="12">
        <f t="shared" si="3"/>
        <v>1192478.6799999995</v>
      </c>
      <c r="H236" s="4" t="s">
        <v>49</v>
      </c>
      <c r="I236" s="12"/>
    </row>
    <row r="237" spans="1:10" ht="9" customHeight="1" x14ac:dyDescent="0.25">
      <c r="A237" s="13">
        <v>27259027892</v>
      </c>
      <c r="B237" s="14" t="s">
        <v>13</v>
      </c>
      <c r="C237" s="5">
        <v>46172</v>
      </c>
      <c r="D237" s="14" t="s">
        <v>10</v>
      </c>
      <c r="E237" s="19">
        <v>166.5</v>
      </c>
      <c r="F237" s="12">
        <v>0</v>
      </c>
      <c r="G237" s="12">
        <f t="shared" si="3"/>
        <v>1192312.1799999995</v>
      </c>
      <c r="I237" s="12"/>
    </row>
    <row r="238" spans="1:10" ht="9" customHeight="1" x14ac:dyDescent="0.25">
      <c r="A238" s="8">
        <v>50905841588</v>
      </c>
      <c r="B238" s="9" t="s">
        <v>30</v>
      </c>
      <c r="C238" s="5">
        <v>46172</v>
      </c>
      <c r="D238" s="9" t="s">
        <v>12</v>
      </c>
      <c r="E238" s="19">
        <v>0</v>
      </c>
      <c r="F238" s="12">
        <v>68164.5</v>
      </c>
      <c r="G238" s="12">
        <f t="shared" si="3"/>
        <v>1260476.6799999995</v>
      </c>
      <c r="H238" s="4" t="s">
        <v>51</v>
      </c>
      <c r="I238" s="12"/>
    </row>
    <row r="239" spans="1:10" ht="9" customHeight="1" x14ac:dyDescent="0.25">
      <c r="A239" s="20">
        <v>27205841588</v>
      </c>
      <c r="B239" s="14" t="s">
        <v>13</v>
      </c>
      <c r="C239" s="5">
        <v>46172</v>
      </c>
      <c r="D239" s="14" t="s">
        <v>10</v>
      </c>
      <c r="E239" s="19">
        <v>1022.47</v>
      </c>
      <c r="F239" s="12">
        <v>0</v>
      </c>
      <c r="G239" s="12">
        <f t="shared" si="3"/>
        <v>1259454.2099999995</v>
      </c>
      <c r="I239" s="12"/>
    </row>
    <row r="240" spans="1:10" ht="9" customHeight="1" x14ac:dyDescent="0.25">
      <c r="A240" s="8">
        <v>50980164440</v>
      </c>
      <c r="B240" s="9" t="s">
        <v>48</v>
      </c>
      <c r="C240" s="5">
        <v>46172</v>
      </c>
      <c r="D240" s="9" t="s">
        <v>12</v>
      </c>
      <c r="E240" s="19">
        <v>0</v>
      </c>
      <c r="F240" s="12">
        <v>44354.06</v>
      </c>
      <c r="G240" s="12">
        <f t="shared" si="3"/>
        <v>1303808.2699999996</v>
      </c>
      <c r="H240" s="4" t="s">
        <v>53</v>
      </c>
      <c r="I240" s="12">
        <v>45019.37</v>
      </c>
      <c r="J240" s="24">
        <f>I240-F240</f>
        <v>665.31000000000495</v>
      </c>
    </row>
    <row r="241" spans="1:8" ht="9" customHeight="1" x14ac:dyDescent="0.25">
      <c r="A241" s="13">
        <v>27280164440</v>
      </c>
      <c r="B241" s="14" t="s">
        <v>13</v>
      </c>
      <c r="C241" s="5">
        <v>46172</v>
      </c>
      <c r="D241" s="14" t="s">
        <v>10</v>
      </c>
      <c r="E241" s="19">
        <v>665.31</v>
      </c>
      <c r="F241" s="12">
        <v>0</v>
      </c>
      <c r="G241" s="12">
        <f t="shared" si="3"/>
        <v>1303142.9599999995</v>
      </c>
    </row>
    <row r="242" spans="1:8" ht="9" customHeight="1" x14ac:dyDescent="0.25">
      <c r="A242" s="8">
        <v>677218905127</v>
      </c>
      <c r="B242" s="9" t="s">
        <v>18</v>
      </c>
      <c r="C242" s="5">
        <v>46173</v>
      </c>
      <c r="D242" s="9" t="s">
        <v>12</v>
      </c>
      <c r="E242" s="19">
        <v>0</v>
      </c>
      <c r="F242" s="12">
        <v>64313.39</v>
      </c>
      <c r="G242" s="12">
        <f t="shared" si="3"/>
        <v>1367456.3499999994</v>
      </c>
      <c r="H242" s="4" t="s">
        <v>54</v>
      </c>
    </row>
    <row r="243" spans="1:8" ht="9" customHeight="1" x14ac:dyDescent="0.25">
      <c r="A243" s="13">
        <v>210018905127</v>
      </c>
      <c r="B243" s="14" t="s">
        <v>15</v>
      </c>
      <c r="C243" s="5">
        <v>46173</v>
      </c>
      <c r="D243" s="14" t="s">
        <v>10</v>
      </c>
      <c r="E243" s="19">
        <v>964.7</v>
      </c>
      <c r="F243" s="12">
        <v>0</v>
      </c>
      <c r="G243" s="12">
        <f t="shared" si="3"/>
        <v>1366491.6499999994</v>
      </c>
    </row>
    <row r="244" spans="1:8" ht="9" customHeight="1" x14ac:dyDescent="0.25">
      <c r="A244" s="8">
        <v>50957027908</v>
      </c>
      <c r="B244" s="9" t="s">
        <v>46</v>
      </c>
      <c r="C244" s="5">
        <v>46173</v>
      </c>
      <c r="D244" s="9" t="s">
        <v>12</v>
      </c>
      <c r="E244" s="19">
        <v>0</v>
      </c>
      <c r="F244" s="12">
        <v>22200</v>
      </c>
      <c r="G244" s="12">
        <f t="shared" si="3"/>
        <v>1388691.6499999994</v>
      </c>
      <c r="H244" s="4" t="s">
        <v>49</v>
      </c>
    </row>
    <row r="245" spans="1:8" ht="9" customHeight="1" x14ac:dyDescent="0.25">
      <c r="A245" s="13">
        <v>27257027908</v>
      </c>
      <c r="B245" s="14" t="s">
        <v>13</v>
      </c>
      <c r="C245" s="5">
        <v>46173</v>
      </c>
      <c r="D245" s="14" t="s">
        <v>10</v>
      </c>
      <c r="E245" s="19">
        <v>333</v>
      </c>
      <c r="F245" s="12">
        <v>0</v>
      </c>
      <c r="G245" s="12">
        <f t="shared" si="3"/>
        <v>1388358.6499999994</v>
      </c>
    </row>
    <row r="246" spans="1:8" ht="9" customHeight="1" x14ac:dyDescent="0.25">
      <c r="A246" s="8">
        <v>50918367805</v>
      </c>
      <c r="B246" s="9" t="s">
        <v>30</v>
      </c>
      <c r="C246" s="5">
        <v>46173</v>
      </c>
      <c r="D246" s="9" t="s">
        <v>12</v>
      </c>
      <c r="E246" s="19">
        <v>0</v>
      </c>
      <c r="F246" s="12">
        <v>33265.800000000003</v>
      </c>
      <c r="G246" s="12">
        <f t="shared" si="3"/>
        <v>1421624.4499999995</v>
      </c>
      <c r="H246" s="4" t="s">
        <v>51</v>
      </c>
    </row>
    <row r="247" spans="1:8" ht="9" customHeight="1" x14ac:dyDescent="0.25">
      <c r="A247" s="13">
        <v>27218367805</v>
      </c>
      <c r="B247" s="14" t="s">
        <v>13</v>
      </c>
      <c r="C247" s="5">
        <v>46173</v>
      </c>
      <c r="D247" s="14" t="s">
        <v>10</v>
      </c>
      <c r="E247" s="19">
        <v>498.99</v>
      </c>
      <c r="F247" s="12">
        <v>0</v>
      </c>
      <c r="G247" s="12">
        <f t="shared" si="3"/>
        <v>1421125.4599999995</v>
      </c>
    </row>
    <row r="248" spans="1:8" ht="9" customHeight="1" x14ac:dyDescent="0.25">
      <c r="A248" s="8">
        <v>50900027917</v>
      </c>
      <c r="B248" s="9" t="s">
        <v>46</v>
      </c>
      <c r="C248" s="5">
        <v>46173</v>
      </c>
      <c r="D248" s="9" t="s">
        <v>12</v>
      </c>
      <c r="E248" s="19">
        <v>0</v>
      </c>
      <c r="F248" s="12">
        <v>11100</v>
      </c>
      <c r="G248" s="12">
        <f t="shared" si="3"/>
        <v>1432225.4599999995</v>
      </c>
      <c r="H248" s="4" t="s">
        <v>49</v>
      </c>
    </row>
    <row r="249" spans="1:8" ht="9" customHeight="1" x14ac:dyDescent="0.25">
      <c r="A249" s="13">
        <v>27200027917</v>
      </c>
      <c r="B249" s="14" t="s">
        <v>13</v>
      </c>
      <c r="C249" s="5">
        <v>46173</v>
      </c>
      <c r="D249" s="14" t="s">
        <v>10</v>
      </c>
      <c r="E249" s="19">
        <v>166.5</v>
      </c>
      <c r="F249" s="12">
        <v>0</v>
      </c>
      <c r="G249" s="12">
        <f t="shared" si="3"/>
        <v>1432058.9599999995</v>
      </c>
    </row>
    <row r="250" spans="1:8" ht="9" customHeight="1" x14ac:dyDescent="0.25">
      <c r="A250" s="8">
        <v>50981187674</v>
      </c>
      <c r="B250" s="9" t="s">
        <v>17</v>
      </c>
      <c r="C250" s="5">
        <v>46173</v>
      </c>
      <c r="D250" s="9" t="s">
        <v>12</v>
      </c>
      <c r="E250" s="19">
        <v>0</v>
      </c>
      <c r="F250" s="12">
        <v>66531.100000000006</v>
      </c>
      <c r="G250" s="12">
        <f t="shared" si="3"/>
        <v>1498590.0599999996</v>
      </c>
      <c r="H250" s="4" t="s">
        <v>53</v>
      </c>
    </row>
    <row r="251" spans="1:8" ht="9" customHeight="1" x14ac:dyDescent="0.25">
      <c r="A251" s="13">
        <v>27281187674</v>
      </c>
      <c r="B251" s="14" t="s">
        <v>13</v>
      </c>
      <c r="C251" s="5">
        <v>46173</v>
      </c>
      <c r="D251" s="14" t="s">
        <v>10</v>
      </c>
      <c r="E251" s="19">
        <v>997.97</v>
      </c>
      <c r="F251" s="12">
        <v>0</v>
      </c>
      <c r="G251" s="12">
        <f t="shared" si="3"/>
        <v>1497592.0899999996</v>
      </c>
    </row>
  </sheetData>
  <autoFilter ref="A2:I251" xr:uid="{F7B01CCD-1FCE-4E4B-9F9D-EE9E8AC24271}"/>
  <mergeCells count="1">
    <mergeCell ref="A3:B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41710-614A-42B8-A9B9-0EFA53A2AD64}">
  <dimension ref="E1:I37"/>
  <sheetViews>
    <sheetView workbookViewId="0">
      <selection activeCell="H7" sqref="H7:I37"/>
    </sheetView>
  </sheetViews>
  <sheetFormatPr baseColWidth="10" defaultRowHeight="15" x14ac:dyDescent="0.25"/>
  <cols>
    <col min="8" max="8" width="12.140625" bestFit="1" customWidth="1"/>
  </cols>
  <sheetData>
    <row r="1" spans="5:9" x14ac:dyDescent="0.25">
      <c r="E1" t="s">
        <v>112</v>
      </c>
      <c r="F1" t="s">
        <v>113</v>
      </c>
      <c r="H1" t="s">
        <v>114</v>
      </c>
      <c r="I1" t="s">
        <v>115</v>
      </c>
    </row>
    <row r="2" spans="5:9" x14ac:dyDescent="0.25">
      <c r="E2" s="13">
        <v>429715496978</v>
      </c>
      <c r="F2" s="19">
        <v>5800</v>
      </c>
      <c r="H2" s="68">
        <v>429715496978</v>
      </c>
      <c r="I2" s="57">
        <v>5800</v>
      </c>
    </row>
    <row r="3" spans="5:9" x14ac:dyDescent="0.25">
      <c r="E3" s="13">
        <v>592340005967</v>
      </c>
      <c r="F3" s="19">
        <v>11187.98</v>
      </c>
      <c r="H3" s="68">
        <v>592340005967</v>
      </c>
      <c r="I3" s="57">
        <v>11187.98</v>
      </c>
    </row>
    <row r="4" spans="5:9" x14ac:dyDescent="0.25">
      <c r="E4" s="8">
        <v>429715726745</v>
      </c>
      <c r="F4" s="19">
        <v>13614.49</v>
      </c>
      <c r="H4" s="68">
        <v>429715726745</v>
      </c>
      <c r="I4" s="57">
        <v>13614.49</v>
      </c>
    </row>
    <row r="5" spans="5:9" x14ac:dyDescent="0.25">
      <c r="E5" s="44">
        <v>329288228422</v>
      </c>
      <c r="F5" s="43">
        <v>20000</v>
      </c>
      <c r="H5" s="66">
        <v>329288228422</v>
      </c>
      <c r="I5" s="57">
        <v>20000</v>
      </c>
    </row>
    <row r="6" spans="5:9" x14ac:dyDescent="0.25">
      <c r="E6" s="44">
        <v>329290788599</v>
      </c>
      <c r="F6" s="43">
        <v>20000</v>
      </c>
    </row>
    <row r="7" spans="5:9" x14ac:dyDescent="0.25">
      <c r="E7" s="13">
        <v>597315482554</v>
      </c>
      <c r="F7" s="19">
        <v>20319.37</v>
      </c>
      <c r="H7" s="68">
        <v>597315482554</v>
      </c>
      <c r="I7" s="57">
        <v>20319.37</v>
      </c>
    </row>
    <row r="8" spans="5:9" x14ac:dyDescent="0.25">
      <c r="E8" s="34">
        <v>597315596538</v>
      </c>
      <c r="F8" s="37">
        <v>21029.25</v>
      </c>
      <c r="H8" s="68">
        <v>597315596538</v>
      </c>
      <c r="I8" s="57">
        <v>21029.25</v>
      </c>
    </row>
    <row r="9" spans="5:9" x14ac:dyDescent="0.25">
      <c r="E9" s="34">
        <v>429715690983</v>
      </c>
      <c r="F9" s="37">
        <v>24327.91</v>
      </c>
      <c r="H9" s="68">
        <v>429715690983</v>
      </c>
      <c r="I9" s="57">
        <v>24327.91</v>
      </c>
    </row>
    <row r="10" spans="5:9" x14ac:dyDescent="0.25">
      <c r="E10" s="8">
        <v>329295456502</v>
      </c>
      <c r="F10" s="23">
        <v>27897</v>
      </c>
      <c r="H10" s="68">
        <v>329295456502</v>
      </c>
      <c r="I10" s="57">
        <v>27897</v>
      </c>
    </row>
    <row r="11" spans="5:9" x14ac:dyDescent="0.25">
      <c r="E11" s="34">
        <v>429715687904</v>
      </c>
      <c r="F11" s="37">
        <v>30769</v>
      </c>
      <c r="H11" s="68">
        <v>429715687904</v>
      </c>
      <c r="I11" s="57">
        <v>30769</v>
      </c>
    </row>
    <row r="12" spans="5:9" x14ac:dyDescent="0.25">
      <c r="E12" s="34">
        <v>329295041684</v>
      </c>
      <c r="F12" s="37">
        <v>33667.519999999997</v>
      </c>
      <c r="H12" s="68">
        <v>329295041684</v>
      </c>
      <c r="I12" s="57">
        <v>33667.519999999997</v>
      </c>
    </row>
    <row r="13" spans="5:9" x14ac:dyDescent="0.25">
      <c r="E13" s="13">
        <v>429715462986</v>
      </c>
      <c r="F13" s="19">
        <v>35400</v>
      </c>
      <c r="H13" s="68">
        <v>429715462986</v>
      </c>
      <c r="I13" s="57">
        <v>35400</v>
      </c>
    </row>
    <row r="14" spans="5:9" x14ac:dyDescent="0.25">
      <c r="E14" s="13">
        <v>429715495752</v>
      </c>
      <c r="F14" s="19">
        <v>35602</v>
      </c>
      <c r="H14" s="68">
        <v>429715495752</v>
      </c>
      <c r="I14" s="57">
        <v>35602</v>
      </c>
    </row>
    <row r="15" spans="5:9" x14ac:dyDescent="0.25">
      <c r="E15" s="13">
        <v>597315579636</v>
      </c>
      <c r="F15" s="19">
        <v>36882</v>
      </c>
      <c r="H15" s="68">
        <v>597315579636</v>
      </c>
      <c r="I15" s="57">
        <v>36882</v>
      </c>
    </row>
    <row r="16" spans="5:9" x14ac:dyDescent="0.25">
      <c r="E16" s="44">
        <v>329288598637</v>
      </c>
      <c r="F16" s="43">
        <v>40000</v>
      </c>
      <c r="H16" s="66">
        <v>329288598637</v>
      </c>
      <c r="I16" s="67">
        <v>40000</v>
      </c>
    </row>
    <row r="17" spans="5:9" x14ac:dyDescent="0.25">
      <c r="E17" s="34">
        <v>329290894899</v>
      </c>
      <c r="F17" s="37">
        <v>45541.91</v>
      </c>
      <c r="H17" s="68">
        <v>329290894899</v>
      </c>
      <c r="I17" s="57">
        <v>45541.91</v>
      </c>
    </row>
    <row r="18" spans="5:9" x14ac:dyDescent="0.25">
      <c r="E18" s="13">
        <v>429715392185</v>
      </c>
      <c r="F18" s="43">
        <v>46202</v>
      </c>
      <c r="H18" s="66">
        <v>27257031167</v>
      </c>
      <c r="I18" s="67">
        <v>46202</v>
      </c>
    </row>
    <row r="19" spans="5:9" x14ac:dyDescent="0.25">
      <c r="E19" s="13">
        <v>429715463833</v>
      </c>
      <c r="F19" s="19">
        <v>50088.15</v>
      </c>
      <c r="H19" s="68">
        <v>429715463833</v>
      </c>
      <c r="I19" s="57">
        <v>50088.15</v>
      </c>
    </row>
    <row r="20" spans="5:9" x14ac:dyDescent="0.25">
      <c r="E20" s="44">
        <v>329291470608</v>
      </c>
      <c r="F20" s="43">
        <v>51078</v>
      </c>
      <c r="H20" s="66">
        <v>329291470608</v>
      </c>
      <c r="I20" s="67">
        <v>51078</v>
      </c>
    </row>
    <row r="21" spans="5:9" x14ac:dyDescent="0.25">
      <c r="E21" s="13">
        <v>329294883581</v>
      </c>
      <c r="F21" s="19">
        <v>51518</v>
      </c>
      <c r="H21" s="68">
        <v>329294883581</v>
      </c>
      <c r="I21" s="57">
        <v>51518</v>
      </c>
    </row>
    <row r="22" spans="5:9" x14ac:dyDescent="0.25">
      <c r="E22" s="13">
        <v>429715596822</v>
      </c>
      <c r="F22" s="19">
        <v>51796.19</v>
      </c>
      <c r="H22" s="68">
        <v>429715596822</v>
      </c>
      <c r="I22" s="57">
        <v>51796.19</v>
      </c>
    </row>
    <row r="23" spans="5:9" x14ac:dyDescent="0.25">
      <c r="E23" s="13">
        <v>429715607299</v>
      </c>
      <c r="F23" s="19">
        <v>51796.19</v>
      </c>
      <c r="H23" s="68">
        <v>429715607299</v>
      </c>
      <c r="I23" s="57">
        <v>51796.19</v>
      </c>
    </row>
    <row r="24" spans="5:9" x14ac:dyDescent="0.25">
      <c r="E24" s="8">
        <v>429715685325</v>
      </c>
      <c r="F24" s="19">
        <v>52317.68</v>
      </c>
      <c r="H24" s="68">
        <v>429715685325</v>
      </c>
      <c r="I24" s="57">
        <v>52317.68</v>
      </c>
    </row>
    <row r="25" spans="5:9" x14ac:dyDescent="0.25">
      <c r="E25" s="8">
        <v>329298960321</v>
      </c>
      <c r="F25" s="19">
        <v>53050</v>
      </c>
      <c r="H25" s="68">
        <v>329298960321</v>
      </c>
      <c r="I25" s="57">
        <v>53050</v>
      </c>
    </row>
    <row r="26" spans="5:9" x14ac:dyDescent="0.25">
      <c r="E26" s="8">
        <v>429715725406</v>
      </c>
      <c r="F26" s="19">
        <v>54457.94</v>
      </c>
      <c r="H26" s="66">
        <v>329299337601</v>
      </c>
      <c r="I26" s="67">
        <v>54457.94</v>
      </c>
    </row>
    <row r="27" spans="5:9" x14ac:dyDescent="0.25">
      <c r="E27" s="51">
        <v>329299337601</v>
      </c>
      <c r="F27" s="43">
        <v>54457.94</v>
      </c>
      <c r="H27" s="68">
        <v>429715725406</v>
      </c>
      <c r="I27" s="57">
        <v>54457.94</v>
      </c>
    </row>
    <row r="28" spans="5:9" x14ac:dyDescent="0.25">
      <c r="E28" s="13">
        <v>329290756442</v>
      </c>
      <c r="F28" s="23">
        <v>54905</v>
      </c>
      <c r="H28" s="68">
        <v>329290756442</v>
      </c>
      <c r="I28" s="57">
        <v>54905</v>
      </c>
    </row>
    <row r="29" spans="5:9" x14ac:dyDescent="0.25">
      <c r="E29" s="34">
        <v>329295038529</v>
      </c>
      <c r="F29" s="37">
        <v>62155.43</v>
      </c>
      <c r="H29" s="68">
        <v>329295038529</v>
      </c>
      <c r="I29" s="57">
        <v>62155.43</v>
      </c>
    </row>
    <row r="30" spans="5:9" x14ac:dyDescent="0.25">
      <c r="E30" s="13">
        <v>329295038248</v>
      </c>
      <c r="F30" s="19">
        <v>64745.24</v>
      </c>
      <c r="H30" s="68">
        <v>329295038248</v>
      </c>
      <c r="I30" s="57">
        <v>64745.24</v>
      </c>
    </row>
    <row r="31" spans="5:9" x14ac:dyDescent="0.25">
      <c r="E31" s="13">
        <v>329290879088</v>
      </c>
      <c r="F31" s="19">
        <v>84976</v>
      </c>
      <c r="H31" s="68">
        <v>329290879088</v>
      </c>
      <c r="I31" s="57">
        <v>84976</v>
      </c>
    </row>
    <row r="32" spans="5:9" x14ac:dyDescent="0.25">
      <c r="E32" s="13">
        <v>429715410459</v>
      </c>
      <c r="F32" s="19">
        <v>105096</v>
      </c>
      <c r="H32" s="66">
        <v>429715410459</v>
      </c>
      <c r="I32" s="57">
        <v>105096</v>
      </c>
    </row>
    <row r="33" spans="5:9" x14ac:dyDescent="0.25">
      <c r="E33" s="51">
        <v>329299137669</v>
      </c>
      <c r="F33" s="43">
        <v>112430.91</v>
      </c>
      <c r="H33" s="66">
        <v>329299137669</v>
      </c>
      <c r="I33" s="67">
        <v>112430.91</v>
      </c>
    </row>
    <row r="34" spans="5:9" x14ac:dyDescent="0.25">
      <c r="E34" s="8">
        <v>429715666687</v>
      </c>
      <c r="F34" s="19">
        <v>122075</v>
      </c>
      <c r="H34" s="68">
        <v>429715666687</v>
      </c>
      <c r="I34" s="57">
        <v>122075</v>
      </c>
    </row>
    <row r="35" spans="5:9" x14ac:dyDescent="0.25">
      <c r="E35" s="8">
        <v>429715759974</v>
      </c>
      <c r="F35" s="19">
        <v>140000</v>
      </c>
      <c r="H35" s="68">
        <v>429715759974</v>
      </c>
      <c r="I35" s="57">
        <v>140000</v>
      </c>
    </row>
    <row r="36" spans="5:9" x14ac:dyDescent="0.25">
      <c r="E36" s="13">
        <v>429715616002</v>
      </c>
      <c r="F36" s="19">
        <v>175205</v>
      </c>
      <c r="H36" s="68">
        <v>429715616002</v>
      </c>
      <c r="I36" s="69">
        <v>175205</v>
      </c>
    </row>
    <row r="37" spans="5:9" x14ac:dyDescent="0.25">
      <c r="E37" s="44">
        <v>329287696499</v>
      </c>
      <c r="F37" s="42">
        <v>300000</v>
      </c>
      <c r="H37" s="66">
        <v>329273500884</v>
      </c>
      <c r="I37" s="67">
        <v>300000</v>
      </c>
    </row>
  </sheetData>
  <autoFilter ref="E1:F37" xr:uid="{3FC41710-614A-42B8-A9B9-0EFA53A2AD64}">
    <sortState xmlns:xlrd2="http://schemas.microsoft.com/office/spreadsheetml/2017/richdata2" ref="E2:F37">
      <sortCondition ref="F2:F37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BE7A2-5FF5-40E2-9989-A0AF2A12038E}">
  <dimension ref="D1:E36"/>
  <sheetViews>
    <sheetView workbookViewId="0">
      <selection activeCell="D1" sqref="D1:E36"/>
    </sheetView>
  </sheetViews>
  <sheetFormatPr baseColWidth="10" defaultRowHeight="15" x14ac:dyDescent="0.25"/>
  <sheetData>
    <row r="1" spans="4:5" x14ac:dyDescent="0.25">
      <c r="D1" t="s">
        <v>114</v>
      </c>
      <c r="E1" t="s">
        <v>115</v>
      </c>
    </row>
    <row r="2" spans="4:5" x14ac:dyDescent="0.25">
      <c r="D2" s="68">
        <v>429715496978</v>
      </c>
      <c r="E2" s="57">
        <v>5800</v>
      </c>
    </row>
    <row r="3" spans="4:5" x14ac:dyDescent="0.25">
      <c r="D3" s="68">
        <v>592340005967</v>
      </c>
      <c r="E3" s="57">
        <v>11187.98</v>
      </c>
    </row>
    <row r="4" spans="4:5" x14ac:dyDescent="0.25">
      <c r="D4" s="68">
        <v>429715726745</v>
      </c>
      <c r="E4" s="57">
        <v>13614.49</v>
      </c>
    </row>
    <row r="5" spans="4:5" x14ac:dyDescent="0.25">
      <c r="D5" s="66">
        <v>329288228422</v>
      </c>
      <c r="E5" s="57">
        <v>20000</v>
      </c>
    </row>
    <row r="6" spans="4:5" x14ac:dyDescent="0.25">
      <c r="D6" s="68">
        <v>597315482554</v>
      </c>
      <c r="E6" s="57">
        <v>20319.37</v>
      </c>
    </row>
    <row r="7" spans="4:5" x14ac:dyDescent="0.25">
      <c r="D7" s="68">
        <v>597315596538</v>
      </c>
      <c r="E7" s="57">
        <v>21029.25</v>
      </c>
    </row>
    <row r="8" spans="4:5" x14ac:dyDescent="0.25">
      <c r="D8" s="68">
        <v>429715690983</v>
      </c>
      <c r="E8" s="57">
        <v>24327.91</v>
      </c>
    </row>
    <row r="9" spans="4:5" x14ac:dyDescent="0.25">
      <c r="D9" s="68">
        <v>329295456502</v>
      </c>
      <c r="E9" s="57">
        <v>27897</v>
      </c>
    </row>
    <row r="10" spans="4:5" x14ac:dyDescent="0.25">
      <c r="D10" s="68">
        <v>429715687904</v>
      </c>
      <c r="E10" s="57">
        <v>30769</v>
      </c>
    </row>
    <row r="11" spans="4:5" x14ac:dyDescent="0.25">
      <c r="D11" s="68">
        <v>329295041684</v>
      </c>
      <c r="E11" s="57">
        <v>33667.519999999997</v>
      </c>
    </row>
    <row r="12" spans="4:5" x14ac:dyDescent="0.25">
      <c r="D12" s="68">
        <v>429715462986</v>
      </c>
      <c r="E12" s="57">
        <v>35400</v>
      </c>
    </row>
    <row r="13" spans="4:5" x14ac:dyDescent="0.25">
      <c r="D13" s="68">
        <v>429715495752</v>
      </c>
      <c r="E13" s="57">
        <v>35602</v>
      </c>
    </row>
    <row r="14" spans="4:5" x14ac:dyDescent="0.25">
      <c r="D14" s="68">
        <v>597315579636</v>
      </c>
      <c r="E14" s="57">
        <v>36882</v>
      </c>
    </row>
    <row r="15" spans="4:5" x14ac:dyDescent="0.25">
      <c r="D15" s="66">
        <v>329288598637</v>
      </c>
      <c r="E15" s="67">
        <v>40000</v>
      </c>
    </row>
    <row r="16" spans="4:5" x14ac:dyDescent="0.25">
      <c r="D16" s="68">
        <v>329290894899</v>
      </c>
      <c r="E16" s="57">
        <v>45541.91</v>
      </c>
    </row>
    <row r="17" spans="4:5" x14ac:dyDescent="0.25">
      <c r="D17" s="66">
        <v>27257031167</v>
      </c>
      <c r="E17" s="67">
        <v>46202</v>
      </c>
    </row>
    <row r="18" spans="4:5" x14ac:dyDescent="0.25">
      <c r="D18" s="68">
        <v>429715463833</v>
      </c>
      <c r="E18" s="57">
        <v>50088.15</v>
      </c>
    </row>
    <row r="19" spans="4:5" x14ac:dyDescent="0.25">
      <c r="D19" s="66">
        <v>329291470608</v>
      </c>
      <c r="E19" s="67">
        <v>51078</v>
      </c>
    </row>
    <row r="20" spans="4:5" x14ac:dyDescent="0.25">
      <c r="D20" s="68">
        <v>329294883581</v>
      </c>
      <c r="E20" s="57">
        <v>51518</v>
      </c>
    </row>
    <row r="21" spans="4:5" x14ac:dyDescent="0.25">
      <c r="D21" s="68">
        <v>429715596822</v>
      </c>
      <c r="E21" s="57">
        <v>51796.19</v>
      </c>
    </row>
    <row r="22" spans="4:5" x14ac:dyDescent="0.25">
      <c r="D22" s="68">
        <v>429715607299</v>
      </c>
      <c r="E22" s="57">
        <v>51796.19</v>
      </c>
    </row>
    <row r="23" spans="4:5" x14ac:dyDescent="0.25">
      <c r="D23" s="68">
        <v>429715685325</v>
      </c>
      <c r="E23" s="57">
        <v>52317.68</v>
      </c>
    </row>
    <row r="24" spans="4:5" x14ac:dyDescent="0.25">
      <c r="D24" s="68">
        <v>329298960321</v>
      </c>
      <c r="E24" s="57">
        <v>53050</v>
      </c>
    </row>
    <row r="25" spans="4:5" x14ac:dyDescent="0.25">
      <c r="D25" s="66">
        <v>329299337601</v>
      </c>
      <c r="E25" s="67">
        <v>54457.94</v>
      </c>
    </row>
    <row r="26" spans="4:5" x14ac:dyDescent="0.25">
      <c r="D26" s="68">
        <v>429715725406</v>
      </c>
      <c r="E26" s="57">
        <v>54457.94</v>
      </c>
    </row>
    <row r="27" spans="4:5" x14ac:dyDescent="0.25">
      <c r="D27" s="68">
        <v>329290756442</v>
      </c>
      <c r="E27" s="57">
        <v>54905</v>
      </c>
    </row>
    <row r="28" spans="4:5" x14ac:dyDescent="0.25">
      <c r="D28" s="68">
        <v>329295038529</v>
      </c>
      <c r="E28" s="57">
        <v>62155.43</v>
      </c>
    </row>
    <row r="29" spans="4:5" x14ac:dyDescent="0.25">
      <c r="D29" s="68">
        <v>329295038248</v>
      </c>
      <c r="E29" s="57">
        <v>64745.24</v>
      </c>
    </row>
    <row r="30" spans="4:5" x14ac:dyDescent="0.25">
      <c r="D30" s="68">
        <v>329290879088</v>
      </c>
      <c r="E30" s="57">
        <v>84976</v>
      </c>
    </row>
    <row r="31" spans="4:5" x14ac:dyDescent="0.25">
      <c r="D31" s="66">
        <v>429715410459</v>
      </c>
      <c r="E31" s="57">
        <v>105096</v>
      </c>
    </row>
    <row r="32" spans="4:5" x14ac:dyDescent="0.25">
      <c r="D32" s="66">
        <v>329299137669</v>
      </c>
      <c r="E32" s="67">
        <v>112430.91</v>
      </c>
    </row>
    <row r="33" spans="4:5" x14ac:dyDescent="0.25">
      <c r="D33" s="68">
        <v>429715666687</v>
      </c>
      <c r="E33" s="57">
        <v>122075</v>
      </c>
    </row>
    <row r="34" spans="4:5" x14ac:dyDescent="0.25">
      <c r="D34" s="68">
        <v>429715759974</v>
      </c>
      <c r="E34" s="57">
        <v>140000</v>
      </c>
    </row>
    <row r="35" spans="4:5" x14ac:dyDescent="0.25">
      <c r="D35" s="68">
        <v>429715616002</v>
      </c>
      <c r="E35" s="69">
        <v>175205</v>
      </c>
    </row>
    <row r="36" spans="4:5" x14ac:dyDescent="0.25">
      <c r="D36" s="66">
        <v>329273500884</v>
      </c>
      <c r="E36" s="67">
        <v>300000</v>
      </c>
    </row>
  </sheetData>
  <autoFilter ref="D1:E36" xr:uid="{09ABE7A2-5FF5-40E2-9989-A0AF2A12038E}">
    <sortState xmlns:xlrd2="http://schemas.microsoft.com/office/spreadsheetml/2017/richdata2" ref="D2:E36">
      <sortCondition ref="E2:E36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39AD75-A970-4C16-9FD2-45E3B3054E77}">
  <dimension ref="C2:J20"/>
  <sheetViews>
    <sheetView workbookViewId="0">
      <selection activeCell="E21" sqref="E21"/>
    </sheetView>
  </sheetViews>
  <sheetFormatPr baseColWidth="10" defaultRowHeight="11.25" x14ac:dyDescent="0.2"/>
  <cols>
    <col min="1" max="16384" width="11.42578125" style="28"/>
  </cols>
  <sheetData>
    <row r="2" spans="3:10" x14ac:dyDescent="0.2">
      <c r="C2" s="4" t="s">
        <v>56</v>
      </c>
      <c r="D2" s="26">
        <v>1</v>
      </c>
      <c r="E2" s="27">
        <v>84976</v>
      </c>
    </row>
    <row r="3" spans="3:10" x14ac:dyDescent="0.2">
      <c r="C3" s="4" t="s">
        <v>56</v>
      </c>
      <c r="D3" s="26">
        <v>1</v>
      </c>
      <c r="E3" s="27">
        <v>14701.33</v>
      </c>
      <c r="F3" s="28" t="s">
        <v>58</v>
      </c>
    </row>
    <row r="4" spans="3:10" x14ac:dyDescent="0.2">
      <c r="C4" s="4" t="s">
        <v>56</v>
      </c>
      <c r="D4" s="26">
        <v>1</v>
      </c>
      <c r="E4" s="30">
        <f>SUM(E2:E3)</f>
        <v>99677.33</v>
      </c>
    </row>
    <row r="5" spans="3:10" x14ac:dyDescent="0.2">
      <c r="C5" s="4" t="s">
        <v>56</v>
      </c>
      <c r="D5" s="26">
        <v>1</v>
      </c>
      <c r="E5" s="23">
        <v>51518</v>
      </c>
    </row>
    <row r="6" spans="3:10" x14ac:dyDescent="0.2">
      <c r="C6" s="4" t="s">
        <v>56</v>
      </c>
      <c r="D6" s="26">
        <v>1</v>
      </c>
      <c r="E6" s="27">
        <v>64745.24</v>
      </c>
    </row>
    <row r="7" spans="3:10" x14ac:dyDescent="0.2">
      <c r="C7" s="4" t="s">
        <v>56</v>
      </c>
      <c r="D7" s="26">
        <v>1</v>
      </c>
      <c r="E7" s="27">
        <v>12879.5</v>
      </c>
      <c r="F7" s="28" t="s">
        <v>58</v>
      </c>
    </row>
    <row r="8" spans="3:10" x14ac:dyDescent="0.2">
      <c r="C8" s="4" t="s">
        <v>56</v>
      </c>
      <c r="D8" s="26">
        <v>1</v>
      </c>
      <c r="E8" s="31">
        <f>SUM(E6:E7)</f>
        <v>77624.739999999991</v>
      </c>
    </row>
    <row r="9" spans="3:10" x14ac:dyDescent="0.2">
      <c r="E9" s="19">
        <f>45099.21+7950.79</f>
        <v>53050</v>
      </c>
    </row>
    <row r="10" spans="3:10" x14ac:dyDescent="0.2">
      <c r="J10" s="27">
        <f>(281870.07*166)/16</f>
        <v>2924401.9762500003</v>
      </c>
    </row>
    <row r="12" spans="3:10" x14ac:dyDescent="0.2">
      <c r="E12" s="29">
        <f>E4+E5+E8+E9</f>
        <v>281870.07</v>
      </c>
    </row>
    <row r="19" spans="5:5" x14ac:dyDescent="0.2">
      <c r="E19" s="28">
        <v>35602</v>
      </c>
    </row>
    <row r="20" spans="5:5" x14ac:dyDescent="0.2">
      <c r="E20" s="28">
        <v>5800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63778-8BC2-4986-885D-AB2CAD319010}">
  <dimension ref="A2:H31"/>
  <sheetViews>
    <sheetView topLeftCell="A2" workbookViewId="0">
      <selection activeCell="C8" sqref="C8"/>
    </sheetView>
  </sheetViews>
  <sheetFormatPr baseColWidth="10" defaultColWidth="94.85546875" defaultRowHeight="9.9499999999999993" customHeight="1" x14ac:dyDescent="0.25"/>
  <cols>
    <col min="1" max="1" width="42.140625" style="56" bestFit="1" customWidth="1"/>
    <col min="2" max="2" width="8.7109375" style="56" bestFit="1" customWidth="1"/>
    <col min="3" max="4" width="8.7109375" style="56" customWidth="1"/>
    <col min="5" max="5" width="12.140625" style="56" bestFit="1" customWidth="1"/>
    <col min="6" max="6" width="12.140625" style="56" customWidth="1"/>
    <col min="7" max="7" width="9.5703125" style="56" bestFit="1" customWidth="1"/>
    <col min="8" max="8" width="39.42578125" style="56" bestFit="1" customWidth="1"/>
    <col min="9" max="16384" width="94.85546875" style="56"/>
  </cols>
  <sheetData>
    <row r="2" spans="1:8" ht="9.9499999999999993" customHeight="1" x14ac:dyDescent="0.25">
      <c r="A2" s="54" t="s">
        <v>92</v>
      </c>
      <c r="B2" s="55" t="s">
        <v>93</v>
      </c>
      <c r="C2" s="55"/>
      <c r="D2" s="55"/>
      <c r="E2" s="53" t="s">
        <v>91</v>
      </c>
      <c r="F2" s="53"/>
      <c r="G2" s="55" t="s">
        <v>94</v>
      </c>
      <c r="H2" s="55" t="s">
        <v>57</v>
      </c>
    </row>
    <row r="3" spans="1:8" ht="9.9499999999999993" customHeight="1" x14ac:dyDescent="0.25">
      <c r="A3" s="58" t="s">
        <v>95</v>
      </c>
      <c r="B3" s="59">
        <v>46148</v>
      </c>
      <c r="C3" s="59"/>
      <c r="D3" s="59"/>
      <c r="E3" s="60">
        <v>429715392185</v>
      </c>
      <c r="F3" s="60"/>
      <c r="G3" s="61">
        <v>46202</v>
      </c>
      <c r="H3" s="62" t="s">
        <v>65</v>
      </c>
    </row>
    <row r="4" spans="1:8" ht="9.9499999999999993" customHeight="1" x14ac:dyDescent="0.25">
      <c r="A4" s="58" t="s">
        <v>96</v>
      </c>
      <c r="B4" s="59">
        <v>46149</v>
      </c>
      <c r="C4" s="59"/>
      <c r="D4" s="59"/>
      <c r="E4" s="60">
        <v>429715410459</v>
      </c>
      <c r="F4" s="60"/>
      <c r="G4" s="61">
        <v>105096</v>
      </c>
      <c r="H4" s="62" t="s">
        <v>66</v>
      </c>
    </row>
    <row r="5" spans="1:8" ht="9.9499999999999993" customHeight="1" x14ac:dyDescent="0.25">
      <c r="A5" s="58" t="s">
        <v>97</v>
      </c>
      <c r="B5" s="59">
        <v>46150</v>
      </c>
      <c r="C5" s="63" t="s">
        <v>110</v>
      </c>
      <c r="D5" s="64" t="s">
        <v>111</v>
      </c>
      <c r="E5" s="60">
        <v>329290756442</v>
      </c>
      <c r="F5" s="60"/>
      <c r="G5" s="61">
        <v>54905</v>
      </c>
      <c r="H5" s="62" t="s">
        <v>59</v>
      </c>
    </row>
    <row r="6" spans="1:8" ht="9.9499999999999993" customHeight="1" x14ac:dyDescent="0.25">
      <c r="A6" s="58" t="s">
        <v>98</v>
      </c>
      <c r="B6" s="59">
        <v>46152</v>
      </c>
      <c r="C6" s="63" t="s">
        <v>110</v>
      </c>
      <c r="D6" s="64" t="s">
        <v>111</v>
      </c>
      <c r="E6" s="60">
        <v>329290879088</v>
      </c>
      <c r="F6" s="60"/>
      <c r="G6" s="61">
        <v>84976</v>
      </c>
      <c r="H6" s="62" t="s">
        <v>56</v>
      </c>
    </row>
    <row r="7" spans="1:8" ht="9.9499999999999993" customHeight="1" x14ac:dyDescent="0.25">
      <c r="A7" s="58" t="s">
        <v>75</v>
      </c>
      <c r="B7" s="59">
        <v>46153</v>
      </c>
      <c r="C7" s="63" t="s">
        <v>110</v>
      </c>
      <c r="D7" s="64" t="s">
        <v>111</v>
      </c>
      <c r="E7" s="60">
        <v>329290894899</v>
      </c>
      <c r="F7" s="60"/>
      <c r="G7" s="61">
        <v>45541.91</v>
      </c>
      <c r="H7" s="62" t="s">
        <v>78</v>
      </c>
    </row>
    <row r="8" spans="1:8" ht="9.9499999999999993" customHeight="1" x14ac:dyDescent="0.25">
      <c r="A8" s="58" t="s">
        <v>99</v>
      </c>
      <c r="B8" s="59">
        <v>46153</v>
      </c>
      <c r="C8" s="63" t="s">
        <v>110</v>
      </c>
      <c r="D8" s="64" t="s">
        <v>111</v>
      </c>
      <c r="E8" s="60">
        <v>429715462986</v>
      </c>
      <c r="F8" s="60"/>
      <c r="G8" s="61">
        <v>35400</v>
      </c>
      <c r="H8" s="62" t="s">
        <v>62</v>
      </c>
    </row>
    <row r="9" spans="1:8" ht="9.9499999999999993" customHeight="1" x14ac:dyDescent="0.25">
      <c r="A9" s="58" t="s">
        <v>95</v>
      </c>
      <c r="B9" s="59">
        <v>46153</v>
      </c>
      <c r="C9" s="63" t="s">
        <v>110</v>
      </c>
      <c r="D9" s="64" t="s">
        <v>111</v>
      </c>
      <c r="E9" s="60">
        <v>429715463833</v>
      </c>
      <c r="F9" s="60"/>
      <c r="G9" s="61">
        <v>50088.15</v>
      </c>
      <c r="H9" s="62" t="s">
        <v>65</v>
      </c>
    </row>
    <row r="10" spans="1:8" ht="9.9499999999999993" customHeight="1" x14ac:dyDescent="0.25">
      <c r="A10" s="58" t="s">
        <v>100</v>
      </c>
      <c r="B10" s="59">
        <v>46154</v>
      </c>
      <c r="C10" s="63" t="s">
        <v>110</v>
      </c>
      <c r="D10" s="64" t="s">
        <v>111</v>
      </c>
      <c r="E10" s="60">
        <v>597315482554</v>
      </c>
      <c r="F10" s="60"/>
      <c r="G10" s="61">
        <v>20319.37</v>
      </c>
      <c r="H10" s="62" t="s">
        <v>61</v>
      </c>
    </row>
    <row r="11" spans="1:8" ht="9.9499999999999993" customHeight="1" x14ac:dyDescent="0.25">
      <c r="A11" s="58" t="s">
        <v>99</v>
      </c>
      <c r="B11" s="59">
        <v>46155</v>
      </c>
      <c r="C11" s="63" t="s">
        <v>110</v>
      </c>
      <c r="D11" s="64" t="s">
        <v>111</v>
      </c>
      <c r="E11" s="60">
        <v>429715495752</v>
      </c>
      <c r="F11" s="60"/>
      <c r="G11" s="61">
        <v>35602</v>
      </c>
      <c r="H11" s="62" t="s">
        <v>63</v>
      </c>
    </row>
    <row r="12" spans="1:8" ht="9.9499999999999993" customHeight="1" x14ac:dyDescent="0.25">
      <c r="A12" s="58" t="s">
        <v>99</v>
      </c>
      <c r="B12" s="59">
        <v>46155</v>
      </c>
      <c r="C12" s="63" t="s">
        <v>110</v>
      </c>
      <c r="D12" s="64" t="s">
        <v>111</v>
      </c>
      <c r="E12" s="60">
        <v>429715496978</v>
      </c>
      <c r="F12" s="60"/>
      <c r="G12" s="61">
        <v>5800</v>
      </c>
      <c r="H12" s="62" t="s">
        <v>63</v>
      </c>
    </row>
    <row r="13" spans="1:8" ht="9.9499999999999993" customHeight="1" x14ac:dyDescent="0.25">
      <c r="A13" s="58" t="s">
        <v>101</v>
      </c>
      <c r="B13" s="59">
        <v>46158</v>
      </c>
      <c r="C13" s="63" t="s">
        <v>110</v>
      </c>
      <c r="D13" s="64" t="s">
        <v>111</v>
      </c>
      <c r="E13" s="60">
        <v>329294883581</v>
      </c>
      <c r="F13" s="60"/>
      <c r="G13" s="61">
        <v>51518</v>
      </c>
      <c r="H13" s="62" t="s">
        <v>56</v>
      </c>
    </row>
    <row r="14" spans="1:8" ht="9.9499999999999993" customHeight="1" x14ac:dyDescent="0.25">
      <c r="A14" s="58" t="s">
        <v>102</v>
      </c>
      <c r="B14" s="59">
        <v>46160</v>
      </c>
      <c r="C14" s="63" t="s">
        <v>110</v>
      </c>
      <c r="D14" s="64" t="s">
        <v>111</v>
      </c>
      <c r="E14" s="60">
        <v>597315579636</v>
      </c>
      <c r="F14" s="60"/>
      <c r="G14" s="61">
        <v>36882</v>
      </c>
      <c r="H14" s="62" t="s">
        <v>71</v>
      </c>
    </row>
    <row r="15" spans="1:8" ht="9.9499999999999993" customHeight="1" x14ac:dyDescent="0.25">
      <c r="A15" s="58" t="s">
        <v>72</v>
      </c>
      <c r="B15" s="59">
        <v>46161</v>
      </c>
      <c r="C15" s="63" t="s">
        <v>110</v>
      </c>
      <c r="D15" s="64" t="s">
        <v>111</v>
      </c>
      <c r="E15" s="60">
        <v>597315596538</v>
      </c>
      <c r="F15" s="60"/>
      <c r="G15" s="61">
        <v>21029.25</v>
      </c>
      <c r="H15" s="62" t="s">
        <v>81</v>
      </c>
    </row>
    <row r="16" spans="1:8" ht="9.9499999999999993" customHeight="1" x14ac:dyDescent="0.25">
      <c r="A16" s="58" t="s">
        <v>103</v>
      </c>
      <c r="B16" s="59">
        <v>46161</v>
      </c>
      <c r="C16" s="63" t="s">
        <v>110</v>
      </c>
      <c r="D16" s="64" t="s">
        <v>111</v>
      </c>
      <c r="E16" s="60">
        <v>329295038248</v>
      </c>
      <c r="F16" s="60"/>
      <c r="G16" s="61">
        <v>64745.24</v>
      </c>
      <c r="H16" s="62" t="s">
        <v>56</v>
      </c>
    </row>
    <row r="17" spans="1:8" ht="9.9499999999999993" customHeight="1" x14ac:dyDescent="0.25">
      <c r="A17" s="58" t="s">
        <v>95</v>
      </c>
      <c r="B17" s="59">
        <v>46161</v>
      </c>
      <c r="C17" s="63" t="s">
        <v>110</v>
      </c>
      <c r="D17" s="64" t="s">
        <v>111</v>
      </c>
      <c r="E17" s="60">
        <v>429715596822</v>
      </c>
      <c r="F17" s="60"/>
      <c r="G17" s="61">
        <v>51796.19</v>
      </c>
      <c r="H17" s="62" t="s">
        <v>65</v>
      </c>
    </row>
    <row r="18" spans="1:8" ht="9.9499999999999993" customHeight="1" x14ac:dyDescent="0.25">
      <c r="A18" s="58" t="s">
        <v>76</v>
      </c>
      <c r="B18" s="59">
        <v>46161</v>
      </c>
      <c r="C18" s="63" t="s">
        <v>110</v>
      </c>
      <c r="D18" s="64" t="s">
        <v>111</v>
      </c>
      <c r="E18" s="60">
        <v>329295038529</v>
      </c>
      <c r="F18" s="60"/>
      <c r="G18" s="61">
        <v>62155.43</v>
      </c>
      <c r="H18" s="62" t="s">
        <v>78</v>
      </c>
    </row>
    <row r="19" spans="1:8" ht="9.9499999999999993" customHeight="1" x14ac:dyDescent="0.25">
      <c r="A19" s="58" t="s">
        <v>73</v>
      </c>
      <c r="B19" s="59">
        <v>46161</v>
      </c>
      <c r="C19" s="63" t="s">
        <v>110</v>
      </c>
      <c r="D19" s="64" t="s">
        <v>111</v>
      </c>
      <c r="E19" s="60">
        <v>329295041684</v>
      </c>
      <c r="F19" s="60"/>
      <c r="G19" s="61">
        <v>33667.519999999997</v>
      </c>
      <c r="H19" s="62" t="s">
        <v>79</v>
      </c>
    </row>
    <row r="20" spans="1:8" ht="9.9499999999999993" customHeight="1" x14ac:dyDescent="0.25">
      <c r="A20" s="58" t="s">
        <v>104</v>
      </c>
      <c r="B20" s="59">
        <v>46161</v>
      </c>
      <c r="C20" s="63" t="s">
        <v>110</v>
      </c>
      <c r="D20" s="64" t="s">
        <v>111</v>
      </c>
      <c r="E20" s="60">
        <v>429715607299</v>
      </c>
      <c r="F20" s="60"/>
      <c r="G20" s="61">
        <v>51796.19</v>
      </c>
      <c r="H20" s="62" t="s">
        <v>70</v>
      </c>
    </row>
    <row r="21" spans="1:8" ht="9.9499999999999993" customHeight="1" x14ac:dyDescent="0.25">
      <c r="A21" s="58" t="s">
        <v>96</v>
      </c>
      <c r="B21" s="59">
        <v>46162</v>
      </c>
      <c r="C21" s="63" t="s">
        <v>110</v>
      </c>
      <c r="D21" s="64" t="s">
        <v>111</v>
      </c>
      <c r="E21" s="60">
        <v>429715616002</v>
      </c>
      <c r="F21" s="60"/>
      <c r="G21" s="61">
        <v>175205</v>
      </c>
      <c r="H21" s="62" t="s">
        <v>66</v>
      </c>
    </row>
    <row r="22" spans="1:8" ht="9.9499999999999993" customHeight="1" x14ac:dyDescent="0.25">
      <c r="A22" s="58" t="s">
        <v>105</v>
      </c>
      <c r="B22" s="59">
        <v>46162</v>
      </c>
      <c r="C22" s="63" t="s">
        <v>110</v>
      </c>
      <c r="D22" s="64" t="s">
        <v>111</v>
      </c>
      <c r="E22" s="60">
        <v>592340005967</v>
      </c>
      <c r="F22" s="60"/>
      <c r="G22" s="61">
        <v>11187.98</v>
      </c>
      <c r="H22" s="62" t="s">
        <v>67</v>
      </c>
    </row>
    <row r="23" spans="1:8" ht="9.9499999999999993" customHeight="1" x14ac:dyDescent="0.25">
      <c r="A23" s="58" t="s">
        <v>106</v>
      </c>
      <c r="B23" s="59">
        <v>46163</v>
      </c>
      <c r="C23" s="63" t="s">
        <v>110</v>
      </c>
      <c r="D23" s="64" t="s">
        <v>111</v>
      </c>
      <c r="E23" s="60">
        <v>329295456502</v>
      </c>
      <c r="F23" s="60"/>
      <c r="G23" s="61">
        <v>27897</v>
      </c>
      <c r="H23" s="62" t="s">
        <v>59</v>
      </c>
    </row>
    <row r="24" spans="1:8" ht="9.9499999999999993" customHeight="1" x14ac:dyDescent="0.25">
      <c r="A24" s="58" t="s">
        <v>107</v>
      </c>
      <c r="B24" s="59">
        <v>46165</v>
      </c>
      <c r="C24" s="63" t="s">
        <v>110</v>
      </c>
      <c r="D24" s="64" t="s">
        <v>111</v>
      </c>
      <c r="E24" s="60">
        <v>429715666687</v>
      </c>
      <c r="F24" s="60"/>
      <c r="G24" s="61">
        <v>122075</v>
      </c>
      <c r="H24" s="62" t="s">
        <v>59</v>
      </c>
    </row>
    <row r="25" spans="1:8" ht="9.9499999999999993" customHeight="1" x14ac:dyDescent="0.25">
      <c r="A25" s="58" t="s">
        <v>108</v>
      </c>
      <c r="B25" s="59">
        <v>46167</v>
      </c>
      <c r="C25" s="63" t="s">
        <v>110</v>
      </c>
      <c r="D25" s="64" t="s">
        <v>111</v>
      </c>
      <c r="E25" s="60">
        <v>329298960321</v>
      </c>
      <c r="F25" s="60"/>
      <c r="G25" s="61">
        <v>53050</v>
      </c>
      <c r="H25" s="62" t="s">
        <v>56</v>
      </c>
    </row>
    <row r="26" spans="1:8" ht="9.9499999999999993" customHeight="1" x14ac:dyDescent="0.25">
      <c r="A26" s="58" t="s">
        <v>95</v>
      </c>
      <c r="B26" s="59">
        <v>46167</v>
      </c>
      <c r="C26" s="63" t="s">
        <v>110</v>
      </c>
      <c r="D26" s="64" t="s">
        <v>111</v>
      </c>
      <c r="E26" s="60">
        <v>429715685325</v>
      </c>
      <c r="F26" s="60"/>
      <c r="G26" s="61">
        <v>52317.68</v>
      </c>
      <c r="H26" s="62" t="s">
        <v>65</v>
      </c>
    </row>
    <row r="27" spans="1:8" ht="9.9499999999999993" customHeight="1" x14ac:dyDescent="0.25">
      <c r="A27" s="58" t="s">
        <v>77</v>
      </c>
      <c r="B27" s="59">
        <v>46167</v>
      </c>
      <c r="C27" s="63" t="s">
        <v>110</v>
      </c>
      <c r="D27" s="64" t="s">
        <v>111</v>
      </c>
      <c r="E27" s="60">
        <v>429715687904</v>
      </c>
      <c r="F27" s="60"/>
      <c r="G27" s="61">
        <v>30769</v>
      </c>
      <c r="H27" s="62" t="s">
        <v>80</v>
      </c>
    </row>
    <row r="28" spans="1:8" ht="9.9499999999999993" customHeight="1" x14ac:dyDescent="0.25">
      <c r="A28" s="58" t="s">
        <v>74</v>
      </c>
      <c r="B28" s="59">
        <v>46168</v>
      </c>
      <c r="C28" s="63" t="s">
        <v>110</v>
      </c>
      <c r="D28" s="64" t="s">
        <v>111</v>
      </c>
      <c r="E28" s="60">
        <v>429715690983</v>
      </c>
      <c r="F28" s="60"/>
      <c r="G28" s="61">
        <v>24327.91</v>
      </c>
      <c r="H28" s="62" t="s">
        <v>82</v>
      </c>
    </row>
    <row r="29" spans="1:8" ht="9.9499999999999993" customHeight="1" x14ac:dyDescent="0.25">
      <c r="A29" s="58" t="s">
        <v>104</v>
      </c>
      <c r="B29" s="59">
        <v>46170</v>
      </c>
      <c r="C29" s="63" t="s">
        <v>110</v>
      </c>
      <c r="D29" s="64" t="s">
        <v>111</v>
      </c>
      <c r="E29" s="60">
        <v>429715725406</v>
      </c>
      <c r="F29" s="60"/>
      <c r="G29" s="61">
        <v>54457.94</v>
      </c>
      <c r="H29" s="62" t="s">
        <v>70</v>
      </c>
    </row>
    <row r="30" spans="1:8" ht="9.9499999999999993" customHeight="1" x14ac:dyDescent="0.25">
      <c r="A30" s="58" t="s">
        <v>109</v>
      </c>
      <c r="B30" s="59">
        <v>46170</v>
      </c>
      <c r="C30" s="63" t="s">
        <v>110</v>
      </c>
      <c r="D30" s="64" t="s">
        <v>111</v>
      </c>
      <c r="E30" s="60">
        <v>429715726745</v>
      </c>
      <c r="F30" s="60"/>
      <c r="G30" s="61">
        <v>13614.49</v>
      </c>
      <c r="H30" s="62" t="s">
        <v>69</v>
      </c>
    </row>
    <row r="31" spans="1:8" ht="9.9499999999999993" customHeight="1" x14ac:dyDescent="0.25">
      <c r="A31" s="58" t="s">
        <v>107</v>
      </c>
      <c r="B31" s="59">
        <v>46171</v>
      </c>
      <c r="C31" s="63" t="s">
        <v>110</v>
      </c>
      <c r="D31" s="64" t="s">
        <v>111</v>
      </c>
      <c r="E31" s="60">
        <v>429715759974</v>
      </c>
      <c r="F31" s="60"/>
      <c r="G31" s="61">
        <v>140000</v>
      </c>
      <c r="H31" s="65" t="s">
        <v>59</v>
      </c>
    </row>
  </sheetData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Hoja1</vt:lpstr>
      <vt:lpstr>Hoja4</vt:lpstr>
      <vt:lpstr>Hoja5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Rodriguez Colmenares</dc:creator>
  <cp:lastModifiedBy>Carlos Rodriguez Colmenares</cp:lastModifiedBy>
  <dcterms:created xsi:type="dcterms:W3CDTF">2026-06-03T01:38:43Z</dcterms:created>
  <dcterms:modified xsi:type="dcterms:W3CDTF">2026-06-20T16:21:38Z</dcterms:modified>
</cp:coreProperties>
</file>