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s Rodriguez\Desktop\Software_KD\Libro Diario\Estado de Cuentas Bancarios\Marzo 2026\"/>
    </mc:Choice>
  </mc:AlternateContent>
  <xr:revisionPtr revIDLastSave="0" documentId="13_ncr:1_{EFC34D78-F2B5-44A8-B94B-382C9C8DCA2E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Data-Central" sheetId="24" r:id="rId1"/>
    <sheet name="Table 1" sheetId="1" r:id="rId2"/>
    <sheet name="Table 2" sheetId="2" r:id="rId3"/>
    <sheet name="Table 3" sheetId="3" r:id="rId4"/>
    <sheet name="Table 4" sheetId="4" r:id="rId5"/>
    <sheet name="Table 5" sheetId="5" r:id="rId6"/>
    <sheet name="Table 6" sheetId="6" r:id="rId7"/>
    <sheet name="Table 7" sheetId="7" r:id="rId8"/>
    <sheet name="Table 8" sheetId="8" r:id="rId9"/>
    <sheet name="Table 9" sheetId="9" r:id="rId10"/>
    <sheet name="Table 10" sheetId="10" r:id="rId11"/>
    <sheet name="Table 11" sheetId="11" r:id="rId12"/>
    <sheet name="Table 12" sheetId="12" r:id="rId13"/>
    <sheet name="Table 13" sheetId="13" r:id="rId14"/>
    <sheet name="Table 14" sheetId="14" r:id="rId15"/>
    <sheet name="Table 15" sheetId="15" r:id="rId16"/>
    <sheet name="Table 16" sheetId="16" r:id="rId17"/>
    <sheet name="Table 17" sheetId="17" r:id="rId18"/>
    <sheet name="Table 18" sheetId="18" r:id="rId19"/>
    <sheet name="Table 19" sheetId="19" r:id="rId20"/>
    <sheet name="Table 20" sheetId="20" r:id="rId21"/>
    <sheet name="Table 21" sheetId="21" r:id="rId22"/>
    <sheet name="Table 22" sheetId="22" r:id="rId23"/>
    <sheet name="Table 23" sheetId="23" r:id="rId24"/>
  </sheets>
  <definedNames>
    <definedName name="_xlnm._FilterDatabase" localSheetId="0" hidden="1">'Data-Central'!$A$2:$G$320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" i="24" l="1"/>
  <c r="G1" i="24" s="1"/>
  <c r="F1" i="24"/>
  <c r="G4" i="24"/>
  <c r="G5" i="24" s="1"/>
  <c r="G6" i="24" s="1"/>
  <c r="G7" i="24" s="1"/>
  <c r="G8" i="24" s="1"/>
  <c r="G9" i="24" s="1"/>
  <c r="G10" i="24" s="1"/>
  <c r="G11" i="24" s="1"/>
  <c r="G12" i="24" s="1"/>
  <c r="G13" i="24" s="1"/>
  <c r="G14" i="24" s="1"/>
  <c r="G15" i="24" s="1"/>
  <c r="G16" i="24" s="1"/>
  <c r="G17" i="24" s="1"/>
  <c r="G18" i="24" s="1"/>
  <c r="G19" i="24" s="1"/>
  <c r="G20" i="24" s="1"/>
  <c r="G21" i="24" s="1"/>
  <c r="G22" i="24" s="1"/>
  <c r="G23" i="24" s="1"/>
  <c r="G24" i="24" s="1"/>
  <c r="G25" i="24" s="1"/>
  <c r="G26" i="24" s="1"/>
  <c r="G27" i="24" s="1"/>
  <c r="G28" i="24" s="1"/>
  <c r="G29" i="24" s="1"/>
  <c r="G30" i="24" s="1"/>
  <c r="G31" i="24" s="1"/>
  <c r="G32" i="24" s="1"/>
  <c r="G33" i="24" s="1"/>
  <c r="G34" i="24" s="1"/>
  <c r="G35" i="24" s="1"/>
  <c r="G36" i="24" s="1"/>
  <c r="G37" i="24" s="1"/>
  <c r="G38" i="24" s="1"/>
  <c r="G39" i="24" s="1"/>
  <c r="G40" i="24" s="1"/>
  <c r="G41" i="24" s="1"/>
  <c r="G42" i="24" s="1"/>
  <c r="G43" i="24" s="1"/>
  <c r="G44" i="24" s="1"/>
  <c r="G45" i="24" s="1"/>
  <c r="G46" i="24" s="1"/>
  <c r="G47" i="24" s="1"/>
  <c r="G48" i="24" s="1"/>
  <c r="G49" i="24" s="1"/>
  <c r="G50" i="24" s="1"/>
  <c r="G51" i="24" s="1"/>
  <c r="G52" i="24" s="1"/>
  <c r="G53" i="24" s="1"/>
  <c r="G54" i="24" s="1"/>
  <c r="G55" i="24" s="1"/>
  <c r="G56" i="24" s="1"/>
  <c r="G57" i="24" s="1"/>
  <c r="G58" i="24" s="1"/>
  <c r="G59" i="24" s="1"/>
  <c r="G60" i="24" s="1"/>
  <c r="G61" i="24" s="1"/>
  <c r="G62" i="24" s="1"/>
  <c r="G63" i="24" s="1"/>
  <c r="G64" i="24" s="1"/>
  <c r="G65" i="24" s="1"/>
  <c r="G66" i="24" s="1"/>
  <c r="G67" i="24" s="1"/>
  <c r="G68" i="24" s="1"/>
  <c r="G69" i="24" s="1"/>
  <c r="G70" i="24" s="1"/>
  <c r="G71" i="24" s="1"/>
  <c r="G72" i="24" s="1"/>
  <c r="G73" i="24" s="1"/>
  <c r="G74" i="24" s="1"/>
  <c r="G75" i="24" s="1"/>
  <c r="G76" i="24" s="1"/>
  <c r="G77" i="24" s="1"/>
  <c r="G78" i="24" s="1"/>
  <c r="G79" i="24" s="1"/>
  <c r="G80" i="24" s="1"/>
  <c r="G81" i="24" s="1"/>
  <c r="G82" i="24" s="1"/>
  <c r="G83" i="24" s="1"/>
  <c r="G84" i="24" s="1"/>
  <c r="G85" i="24" s="1"/>
  <c r="G86" i="24" s="1"/>
  <c r="G87" i="24" s="1"/>
  <c r="G88" i="24" s="1"/>
  <c r="G89" i="24" s="1"/>
  <c r="G90" i="24" s="1"/>
  <c r="G91" i="24" s="1"/>
  <c r="G92" i="24" s="1"/>
  <c r="G93" i="24" s="1"/>
  <c r="G94" i="24" s="1"/>
  <c r="G95" i="24" s="1"/>
  <c r="G96" i="24" s="1"/>
  <c r="G97" i="24" s="1"/>
  <c r="G98" i="24" s="1"/>
  <c r="G99" i="24" s="1"/>
  <c r="G100" i="24" s="1"/>
  <c r="G101" i="24" s="1"/>
  <c r="G102" i="24" s="1"/>
  <c r="G103" i="24" s="1"/>
  <c r="G104" i="24" s="1"/>
  <c r="G105" i="24" s="1"/>
  <c r="G106" i="24" s="1"/>
  <c r="G107" i="24" s="1"/>
  <c r="G108" i="24" s="1"/>
  <c r="G109" i="24" s="1"/>
  <c r="G110" i="24" s="1"/>
  <c r="G111" i="24" s="1"/>
  <c r="G112" i="24" s="1"/>
  <c r="G113" i="24" s="1"/>
  <c r="G114" i="24" s="1"/>
  <c r="G115" i="24" s="1"/>
  <c r="G116" i="24" s="1"/>
  <c r="G117" i="24" s="1"/>
  <c r="G118" i="24" s="1"/>
  <c r="G119" i="24" s="1"/>
  <c r="G120" i="24" s="1"/>
  <c r="G121" i="24" s="1"/>
  <c r="G122" i="24" s="1"/>
  <c r="G123" i="24" s="1"/>
  <c r="G124" i="24" s="1"/>
  <c r="G125" i="24" s="1"/>
  <c r="G126" i="24" s="1"/>
  <c r="G127" i="24" s="1"/>
  <c r="G128" i="24" s="1"/>
  <c r="G129" i="24" s="1"/>
  <c r="G130" i="24" s="1"/>
  <c r="G131" i="24" s="1"/>
  <c r="G132" i="24" s="1"/>
  <c r="G133" i="24" s="1"/>
  <c r="G134" i="24" s="1"/>
  <c r="G135" i="24" s="1"/>
  <c r="G136" i="24" s="1"/>
  <c r="G137" i="24" s="1"/>
  <c r="G138" i="24" s="1"/>
  <c r="G139" i="24" s="1"/>
  <c r="G140" i="24" s="1"/>
  <c r="G141" i="24" s="1"/>
  <c r="G142" i="24" s="1"/>
  <c r="G143" i="24" s="1"/>
  <c r="G144" i="24" s="1"/>
  <c r="G145" i="24" s="1"/>
  <c r="G146" i="24" s="1"/>
  <c r="G147" i="24" s="1"/>
  <c r="G148" i="24" s="1"/>
  <c r="G149" i="24" s="1"/>
  <c r="G150" i="24" s="1"/>
  <c r="G151" i="24" s="1"/>
  <c r="G152" i="24" s="1"/>
  <c r="G153" i="24" s="1"/>
  <c r="G154" i="24" s="1"/>
  <c r="G155" i="24" s="1"/>
  <c r="G156" i="24" s="1"/>
  <c r="G157" i="24" s="1"/>
  <c r="G158" i="24" s="1"/>
  <c r="G159" i="24" s="1"/>
  <c r="G160" i="24" s="1"/>
  <c r="G161" i="24" s="1"/>
  <c r="G162" i="24" s="1"/>
  <c r="G163" i="24" s="1"/>
  <c r="G164" i="24" s="1"/>
  <c r="G165" i="24" s="1"/>
  <c r="G166" i="24" s="1"/>
  <c r="G167" i="24" s="1"/>
  <c r="G168" i="24" s="1"/>
  <c r="G169" i="24" s="1"/>
  <c r="G170" i="24" s="1"/>
  <c r="G171" i="24" s="1"/>
  <c r="G172" i="24" s="1"/>
  <c r="G173" i="24" s="1"/>
  <c r="G174" i="24" s="1"/>
  <c r="G175" i="24" s="1"/>
  <c r="G176" i="24" s="1"/>
  <c r="G177" i="24" s="1"/>
  <c r="G178" i="24" s="1"/>
  <c r="G179" i="24" s="1"/>
  <c r="G180" i="24" s="1"/>
  <c r="G181" i="24" s="1"/>
  <c r="G182" i="24" s="1"/>
  <c r="G183" i="24" s="1"/>
  <c r="G184" i="24" s="1"/>
  <c r="G185" i="24" s="1"/>
  <c r="G186" i="24" s="1"/>
  <c r="G187" i="24" s="1"/>
  <c r="G188" i="24" s="1"/>
  <c r="G189" i="24" s="1"/>
  <c r="G190" i="24" s="1"/>
  <c r="G191" i="24" s="1"/>
  <c r="G192" i="24" s="1"/>
  <c r="G193" i="24" s="1"/>
  <c r="G194" i="24" s="1"/>
  <c r="G195" i="24" s="1"/>
  <c r="G196" i="24" s="1"/>
  <c r="G197" i="24" s="1"/>
  <c r="G198" i="24" s="1"/>
  <c r="G199" i="24" s="1"/>
  <c r="G200" i="24" s="1"/>
  <c r="G201" i="24" s="1"/>
  <c r="G202" i="24" s="1"/>
  <c r="G203" i="24" s="1"/>
  <c r="G204" i="24" s="1"/>
  <c r="G205" i="24" s="1"/>
  <c r="G206" i="24" s="1"/>
  <c r="G207" i="24" s="1"/>
  <c r="G208" i="24" s="1"/>
  <c r="G209" i="24" s="1"/>
  <c r="G210" i="24" s="1"/>
  <c r="G211" i="24" s="1"/>
  <c r="G212" i="24" s="1"/>
  <c r="G213" i="24" s="1"/>
  <c r="G214" i="24" s="1"/>
  <c r="G215" i="24" s="1"/>
  <c r="G216" i="24" s="1"/>
  <c r="G217" i="24" s="1"/>
  <c r="G218" i="24" s="1"/>
  <c r="G219" i="24" s="1"/>
  <c r="G220" i="24" s="1"/>
  <c r="G221" i="24" s="1"/>
  <c r="G222" i="24" s="1"/>
  <c r="G223" i="24" s="1"/>
  <c r="G224" i="24" s="1"/>
  <c r="G225" i="24" s="1"/>
  <c r="G226" i="24" s="1"/>
  <c r="G227" i="24" s="1"/>
  <c r="G228" i="24" s="1"/>
  <c r="G229" i="24" s="1"/>
  <c r="G230" i="24" s="1"/>
  <c r="G231" i="24" s="1"/>
  <c r="G232" i="24" s="1"/>
  <c r="G233" i="24" s="1"/>
  <c r="G234" i="24" s="1"/>
  <c r="G235" i="24" s="1"/>
  <c r="G236" i="24" s="1"/>
  <c r="G237" i="24" s="1"/>
  <c r="G238" i="24" s="1"/>
  <c r="G239" i="24" s="1"/>
  <c r="G240" i="24" s="1"/>
  <c r="G241" i="24" s="1"/>
  <c r="G242" i="24" s="1"/>
  <c r="G243" i="24" s="1"/>
  <c r="G244" i="24" s="1"/>
  <c r="G245" i="24" s="1"/>
  <c r="G246" i="24" s="1"/>
  <c r="G247" i="24" s="1"/>
  <c r="G248" i="24" s="1"/>
  <c r="G249" i="24" s="1"/>
  <c r="G250" i="24" s="1"/>
  <c r="G251" i="24" s="1"/>
  <c r="G252" i="24" s="1"/>
  <c r="G253" i="24" s="1"/>
  <c r="G254" i="24" s="1"/>
  <c r="G255" i="24" s="1"/>
  <c r="G256" i="24" s="1"/>
  <c r="G257" i="24" s="1"/>
  <c r="G258" i="24" s="1"/>
  <c r="G259" i="24" s="1"/>
  <c r="G260" i="24" s="1"/>
  <c r="G261" i="24" s="1"/>
  <c r="G262" i="24" s="1"/>
  <c r="G263" i="24" s="1"/>
  <c r="G264" i="24" s="1"/>
  <c r="G265" i="24" s="1"/>
  <c r="G266" i="24" s="1"/>
  <c r="G267" i="24" s="1"/>
  <c r="G268" i="24" s="1"/>
  <c r="G269" i="24" s="1"/>
  <c r="G270" i="24" s="1"/>
  <c r="G271" i="24" s="1"/>
  <c r="G272" i="24" s="1"/>
  <c r="G273" i="24" s="1"/>
  <c r="G274" i="24" s="1"/>
  <c r="G275" i="24" s="1"/>
  <c r="G276" i="24" s="1"/>
  <c r="G277" i="24" s="1"/>
  <c r="G278" i="24" s="1"/>
  <c r="G279" i="24" s="1"/>
  <c r="G280" i="24" s="1"/>
  <c r="G281" i="24" s="1"/>
  <c r="G282" i="24" s="1"/>
  <c r="G283" i="24" s="1"/>
  <c r="G284" i="24" s="1"/>
  <c r="G285" i="24" s="1"/>
  <c r="G286" i="24" s="1"/>
  <c r="G287" i="24" s="1"/>
  <c r="G288" i="24" s="1"/>
  <c r="G289" i="24" s="1"/>
  <c r="G290" i="24" s="1"/>
  <c r="G291" i="24" s="1"/>
  <c r="G292" i="24" s="1"/>
  <c r="G293" i="24" s="1"/>
  <c r="G294" i="24" s="1"/>
  <c r="G295" i="24" s="1"/>
  <c r="G296" i="24" s="1"/>
  <c r="G297" i="24" s="1"/>
  <c r="G298" i="24" s="1"/>
  <c r="G299" i="24" s="1"/>
  <c r="G300" i="24" s="1"/>
  <c r="G301" i="24" s="1"/>
  <c r="G302" i="24" s="1"/>
  <c r="G303" i="24" s="1"/>
  <c r="G304" i="24" s="1"/>
  <c r="G305" i="24" s="1"/>
  <c r="G306" i="24" s="1"/>
  <c r="G307" i="24" s="1"/>
  <c r="G308" i="24" s="1"/>
  <c r="G309" i="24" s="1"/>
  <c r="G310" i="24" s="1"/>
  <c r="G311" i="24" s="1"/>
  <c r="G312" i="24" s="1"/>
  <c r="G313" i="24" s="1"/>
  <c r="G314" i="24" s="1"/>
  <c r="G315" i="24" s="1"/>
  <c r="G316" i="24" s="1"/>
  <c r="G317" i="24" s="1"/>
  <c r="G318" i="24" s="1"/>
  <c r="G319" i="24" s="1"/>
  <c r="G320" i="24" s="1"/>
</calcChain>
</file>

<file path=xl/sharedStrings.xml><?xml version="1.0" encoding="utf-8"?>
<sst xmlns="http://schemas.openxmlformats.org/spreadsheetml/2006/main" count="1440" uniqueCount="122">
  <si>
    <r>
      <rPr>
        <b/>
        <sz val="10"/>
        <color rgb="FFFFFFFF"/>
        <rFont val="Arial"/>
        <family val="2"/>
      </rPr>
      <t>Referencia</t>
    </r>
  </si>
  <si>
    <r>
      <rPr>
        <b/>
        <sz val="10"/>
        <color rgb="FFFFFFFF"/>
        <rFont val="Arial"/>
        <family val="2"/>
      </rPr>
      <t>Descripción</t>
    </r>
  </si>
  <si>
    <r>
      <rPr>
        <b/>
        <sz val="10"/>
        <color rgb="FFFFFFFF"/>
        <rFont val="Arial"/>
        <family val="2"/>
      </rPr>
      <t>Fecha</t>
    </r>
  </si>
  <si>
    <r>
      <rPr>
        <b/>
        <sz val="10"/>
        <color rgb="FFFFFFFF"/>
        <rFont val="Arial"/>
        <family val="2"/>
      </rPr>
      <t>Mov</t>
    </r>
  </si>
  <si>
    <r>
      <rPr>
        <b/>
        <sz val="10"/>
        <color rgb="FFFFFFFF"/>
        <rFont val="Arial"/>
        <family val="2"/>
      </rPr>
      <t>Débito</t>
    </r>
  </si>
  <si>
    <r>
      <rPr>
        <b/>
        <sz val="10"/>
        <color rgb="FFFFFFFF"/>
        <rFont val="Arial"/>
        <family val="2"/>
      </rPr>
      <t>Crédito</t>
    </r>
  </si>
  <si>
    <r>
      <rPr>
        <b/>
        <sz val="10"/>
        <color rgb="FFFFFFFF"/>
        <rFont val="Arial"/>
        <family val="2"/>
      </rPr>
      <t>Saldo</t>
    </r>
  </si>
  <si>
    <r>
      <rPr>
        <sz val="10"/>
        <color rgb="FF505050"/>
        <rFont val="Arial MT"/>
        <family val="2"/>
      </rPr>
      <t>SALDO INICIAL</t>
    </r>
  </si>
  <si>
    <r>
      <rPr>
        <sz val="10"/>
        <color rgb="FF505050"/>
        <rFont val="Arial MT"/>
        <family val="2"/>
      </rPr>
      <t>SI</t>
    </r>
  </si>
  <si>
    <r>
      <rPr>
        <sz val="10"/>
        <color rgb="FF505050"/>
        <rFont val="Arial MT"/>
        <family val="2"/>
      </rPr>
      <t>COM MANTENIMIENTO DE CUENTA</t>
    </r>
  </si>
  <si>
    <r>
      <rPr>
        <sz val="10"/>
        <color rgb="FF505050"/>
        <rFont val="Arial MT"/>
        <family val="2"/>
      </rPr>
      <t>ND</t>
    </r>
  </si>
  <si>
    <r>
      <rPr>
        <sz val="10"/>
        <color rgb="FF505050"/>
        <rFont val="Arial MT"/>
        <family val="2"/>
      </rPr>
      <t>PAGOMOVIL BDV V28023800 FRANCISCO MADRIZ</t>
    </r>
  </si>
  <si>
    <r>
      <rPr>
        <sz val="10"/>
        <color rgb="FF505050"/>
        <rFont val="Arial MT"/>
        <family val="2"/>
      </rPr>
      <t>NC</t>
    </r>
  </si>
  <si>
    <r>
      <rPr>
        <sz val="10"/>
        <color rgb="FF505050"/>
        <rFont val="Arial MT"/>
        <family val="2"/>
      </rPr>
      <t>COBRO COMISION PAG MOVIL BDV A</t>
    </r>
  </si>
  <si>
    <r>
      <rPr>
        <sz val="10"/>
        <color rgb="FF505050"/>
        <rFont val="Arial MT"/>
        <family val="2"/>
      </rPr>
      <t>PAGOMOVIL OTROS BANCOS 0105 04243252293</t>
    </r>
  </si>
  <si>
    <r>
      <rPr>
        <sz val="10"/>
        <color rgb="FF505050"/>
        <rFont val="Arial MT"/>
        <family val="2"/>
      </rPr>
      <t>COMISION PAGOMOVILBDV</t>
    </r>
  </si>
  <si>
    <r>
      <rPr>
        <sz val="10"/>
        <color rgb="FF505050"/>
        <rFont val="Arial MT"/>
        <family val="2"/>
      </rPr>
      <t>PAGO A PROVEEDORES BDV V014744149 LOTE 00414974</t>
    </r>
  </si>
  <si>
    <r>
      <rPr>
        <sz val="10"/>
        <color rgb="FF505050"/>
        <rFont val="Arial MT"/>
        <family val="2"/>
      </rPr>
      <t>COMISION PAGO A PROVEEDORES</t>
    </r>
  </si>
  <si>
    <r>
      <rPr>
        <sz val="10"/>
        <color rgb="FF505050"/>
        <rFont val="Arial MT"/>
        <family val="2"/>
      </rPr>
      <t>PAGO A PROVEEDORES BDV V014744149 LOTE 00414979</t>
    </r>
  </si>
  <si>
    <r>
      <rPr>
        <sz val="10"/>
        <color rgb="FF505050"/>
        <rFont val="Arial MT"/>
        <family val="2"/>
      </rPr>
      <t>PAGO A PROVEEDORES BDV V014744149 LOTE 00415006</t>
    </r>
  </si>
  <si>
    <r>
      <rPr>
        <sz val="10"/>
        <color rgb="FF505050"/>
        <rFont val="Arial MT"/>
        <family val="2"/>
      </rPr>
      <t>PAGOMOVIL OTROS BANCOS 0134 04142254712</t>
    </r>
  </si>
  <si>
    <r>
      <rPr>
        <sz val="10"/>
        <color rgb="FF505050"/>
        <rFont val="Arial MT"/>
        <family val="2"/>
      </rPr>
      <t>PAGO A PROVEEDORES BDV V014744149 LOTE 00415313</t>
    </r>
  </si>
  <si>
    <r>
      <rPr>
        <sz val="10"/>
        <color rgb="FF505050"/>
        <rFont val="Arial MT"/>
        <family val="2"/>
      </rPr>
      <t>PAGOMOVIL OTROS BANCOS 0191 04141500569</t>
    </r>
  </si>
  <si>
    <r>
      <rPr>
        <sz val="10"/>
        <color rgb="FF505050"/>
        <rFont val="Arial MT"/>
        <family val="2"/>
      </rPr>
      <t>PAGO A PROVEEDORES BDV V014744149 LOTE 00415779</t>
    </r>
  </si>
  <si>
    <r>
      <rPr>
        <sz val="10"/>
        <color rgb="FF505050"/>
        <rFont val="Arial MT"/>
        <family val="2"/>
      </rPr>
      <t>PAGOMOVIL BDV V22764031 JONATHAN APONTE</t>
    </r>
  </si>
  <si>
    <r>
      <rPr>
        <sz val="10"/>
        <color rgb="FF505050"/>
        <rFont val="Arial MT"/>
        <family val="2"/>
      </rPr>
      <t>PAGOMOVIL OTROS BANCOS 0007 04129709191</t>
    </r>
  </si>
  <si>
    <r>
      <rPr>
        <sz val="10"/>
        <color rgb="FF505050"/>
        <rFont val="Arial MT"/>
        <family val="2"/>
      </rPr>
      <t>PAGO A PROVEEDORES BDV V014744149 LOTE 00416112</t>
    </r>
  </si>
  <si>
    <r>
      <rPr>
        <sz val="10"/>
        <color rgb="FF505050"/>
        <rFont val="Arial MT"/>
        <family val="2"/>
      </rPr>
      <t>PAGO A PROVEEDORES BDV V014744149 LOTE 00416277</t>
    </r>
  </si>
  <si>
    <r>
      <rPr>
        <sz val="10"/>
        <color rgb="FF505050"/>
        <rFont val="Arial MT"/>
        <family val="2"/>
      </rPr>
      <t>PAGO A PROVEEDORES BDV V014744149 LOTE 00416725</t>
    </r>
  </si>
  <si>
    <r>
      <rPr>
        <sz val="10"/>
        <color rgb="FF505050"/>
        <rFont val="Arial MT"/>
        <family val="2"/>
      </rPr>
      <t>PAGO A PROVEEDORES BDV V014744149 LOTE 00416983</t>
    </r>
  </si>
  <si>
    <r>
      <rPr>
        <sz val="10"/>
        <color rgb="FF505050"/>
        <rFont val="Arial MT"/>
        <family val="2"/>
      </rPr>
      <t>PAGO A PROVEEDORES BDV V014744149 LOTE 00417727</t>
    </r>
  </si>
  <si>
    <r>
      <rPr>
        <sz val="10"/>
        <color rgb="FF505050"/>
        <rFont val="Arial MT"/>
        <family val="2"/>
      </rPr>
      <t>PAGO A PROVEEDORES BDV V014744149 LOTE 00418316</t>
    </r>
  </si>
  <si>
    <r>
      <rPr>
        <sz val="10"/>
        <color rgb="FF505050"/>
        <rFont val="Arial MT"/>
        <family val="2"/>
      </rPr>
      <t>PAGO A PROVEEDORES BDV V014744149 LOTE 00418796</t>
    </r>
  </si>
  <si>
    <r>
      <rPr>
        <sz val="10"/>
        <color rgb="FF505050"/>
        <rFont val="Arial MT"/>
        <family val="2"/>
      </rPr>
      <t>PAGO A PROVEEDORES BDV V014744149 LOTE 00420471</t>
    </r>
  </si>
  <si>
    <r>
      <rPr>
        <sz val="10"/>
        <color rgb="FF505050"/>
        <rFont val="Arial MT"/>
        <family val="2"/>
      </rPr>
      <t>PAGO A PROVEEDORES BDV V014744149 LOTE 00421272</t>
    </r>
  </si>
  <si>
    <r>
      <rPr>
        <sz val="10"/>
        <color rgb="FF505050"/>
        <rFont val="Arial MT"/>
        <family val="2"/>
      </rPr>
      <t>PAGO A PROVEEDORES BDV V014744149 LOTE 00421549</t>
    </r>
  </si>
  <si>
    <r>
      <rPr>
        <sz val="10"/>
        <color rgb="FF505050"/>
        <rFont val="Arial MT"/>
        <family val="2"/>
      </rPr>
      <t>PAGOMOVIL OTROS BANCOS 0134 04120301787</t>
    </r>
  </si>
  <si>
    <r>
      <rPr>
        <sz val="10"/>
        <color rgb="FF505050"/>
        <rFont val="Arial MT"/>
        <family val="2"/>
      </rPr>
      <t>PAGO A PROVEEDORES BDV V014744149 LOTE 00422325</t>
    </r>
  </si>
  <si>
    <r>
      <rPr>
        <sz val="10"/>
        <color rgb="FF505050"/>
        <rFont val="Arial MT"/>
        <family val="2"/>
      </rPr>
      <t>PAGO A PROVEEDORES BDV V014744149 LOTE 00422536</t>
    </r>
  </si>
  <si>
    <r>
      <rPr>
        <sz val="10"/>
        <color rgb="FF505050"/>
        <rFont val="Arial MT"/>
        <family val="2"/>
      </rPr>
      <t>PAGO A PROVEEDORES BDV V014744149 LOTE 00422745</t>
    </r>
  </si>
  <si>
    <r>
      <rPr>
        <sz val="10"/>
        <color rgb="FF505050"/>
        <rFont val="Arial MT"/>
        <family val="2"/>
      </rPr>
      <t>PAGO A PROVEEDORES BDV V014744149 LOTE 00423024</t>
    </r>
  </si>
  <si>
    <r>
      <rPr>
        <sz val="10"/>
        <color rgb="FF505050"/>
        <rFont val="Arial MT"/>
        <family val="2"/>
      </rPr>
      <t>PAGOMOVIL BDV V17166420 ARTURO ZORRILLA</t>
    </r>
  </si>
  <si>
    <r>
      <rPr>
        <sz val="10"/>
        <color rgb="FF505050"/>
        <rFont val="Arial MT"/>
        <family val="2"/>
      </rPr>
      <t>PAGO A PROVEEDORES BDV V014744149 LOTE 00423809</t>
    </r>
  </si>
  <si>
    <r>
      <rPr>
        <sz val="10"/>
        <color rgb="FF505050"/>
        <rFont val="Arial MT"/>
        <family val="2"/>
      </rPr>
      <t>PAGO A PROVEEDORES BDV V014744149 LOTE 00423875</t>
    </r>
  </si>
  <si>
    <r>
      <rPr>
        <sz val="10"/>
        <color rgb="FF505050"/>
        <rFont val="Arial MT"/>
        <family val="2"/>
      </rPr>
      <t>PAGO A PROVEEDORES BDV V014744149 LOTE 00423986</t>
    </r>
  </si>
  <si>
    <r>
      <rPr>
        <sz val="10"/>
        <color rgb="FF505050"/>
        <rFont val="Arial MT"/>
        <family val="2"/>
      </rPr>
      <t>PAGO A PROVEEDORES BDV V014744149 LOTE 00424503</t>
    </r>
  </si>
  <si>
    <r>
      <rPr>
        <sz val="10"/>
        <color rgb="FF505050"/>
        <rFont val="Arial MT"/>
        <family val="2"/>
      </rPr>
      <t>PAGO A PROVEEDORES BDV V014744149 LOTE 00425152</t>
    </r>
  </si>
  <si>
    <r>
      <rPr>
        <sz val="10"/>
        <color rgb="FF505050"/>
        <rFont val="Arial MT"/>
        <family val="2"/>
      </rPr>
      <t>PAGO A PROVEEDORES BDV V014744149 LOTE 00425481</t>
    </r>
  </si>
  <si>
    <r>
      <rPr>
        <sz val="10"/>
        <color rgb="FF505050"/>
        <rFont val="Arial MT"/>
        <family val="2"/>
      </rPr>
      <t>PAGO A PROVEEDORES BDV V014744149 LOTE 00425750</t>
    </r>
  </si>
  <si>
    <r>
      <rPr>
        <sz val="10"/>
        <color rgb="FF505050"/>
        <rFont val="Arial MT"/>
        <family val="2"/>
      </rPr>
      <t>PAGO A PROVEEDORES BDV V014744149 LOTE 00426043</t>
    </r>
  </si>
  <si>
    <r>
      <rPr>
        <sz val="10"/>
        <color rgb="FF505050"/>
        <rFont val="Arial MT"/>
        <family val="2"/>
      </rPr>
      <t>PAGO A PROVEEDORES BDV V014744149 LOTE 00426371</t>
    </r>
  </si>
  <si>
    <r>
      <rPr>
        <sz val="10"/>
        <color rgb="FF505050"/>
        <rFont val="Arial MT"/>
        <family val="2"/>
      </rPr>
      <t>PAGOMOVIL BDV V028023800 FRANCISCO MADRIZ</t>
    </r>
  </si>
  <si>
    <r>
      <rPr>
        <sz val="10"/>
        <color rgb="FF505050"/>
        <rFont val="Arial MT"/>
        <family val="2"/>
      </rPr>
      <t>PAGO A PROVEEDORES BDV V014744149 LOTE 00426605</t>
    </r>
  </si>
  <si>
    <r>
      <rPr>
        <sz val="10"/>
        <color rgb="FF505050"/>
        <rFont val="Arial MT"/>
        <family val="2"/>
      </rPr>
      <t>PAGOMOVIL BDV V022764031 JONATHAN APONTE</t>
    </r>
  </si>
  <si>
    <r>
      <rPr>
        <sz val="10"/>
        <color rgb="FF505050"/>
        <rFont val="Arial MT"/>
        <family val="2"/>
      </rPr>
      <t>PAGOMOVIL BDV V017166420 ARTURO ZORRILLA</t>
    </r>
  </si>
  <si>
    <r>
      <rPr>
        <sz val="10"/>
        <color rgb="FF505050"/>
        <rFont val="Arial MT"/>
        <family val="2"/>
      </rPr>
      <t>PAGO A PROVEEDORES BDV V014744149 LOTE 00426820</t>
    </r>
  </si>
  <si>
    <r>
      <rPr>
        <sz val="10"/>
        <color rgb="FF505050"/>
        <rFont val="Arial MT"/>
        <family val="2"/>
      </rPr>
      <t>PAGO A PROVEEDORES BDV V014744149 LOTE 00426850</t>
    </r>
  </si>
  <si>
    <r>
      <rPr>
        <sz val="10"/>
        <color rgb="FF505050"/>
        <rFont val="Arial MT"/>
        <family val="2"/>
      </rPr>
      <t>PAGO A PROVEEDORES BDV V014744149 LOTE 00427527</t>
    </r>
  </si>
  <si>
    <r>
      <rPr>
        <sz val="10"/>
        <color rgb="FF505050"/>
        <rFont val="Arial MT"/>
        <family val="2"/>
      </rPr>
      <t>PAGO A PROVEEDORES BDV V014744149 LOTE 00427633</t>
    </r>
  </si>
  <si>
    <r>
      <rPr>
        <sz val="10"/>
        <color rgb="FF505050"/>
        <rFont val="Arial MT"/>
        <family val="2"/>
      </rPr>
      <t>PAGO A PROVEEDORES BDV V014744149 LOTE 00427638</t>
    </r>
  </si>
  <si>
    <r>
      <rPr>
        <sz val="10"/>
        <color rgb="FF505050"/>
        <rFont val="Arial MT"/>
        <family val="2"/>
      </rPr>
      <t>PAGO A PROVEEDORES BDV V014744149 LOTE 00428128</t>
    </r>
  </si>
  <si>
    <r>
      <rPr>
        <b/>
        <sz val="8"/>
        <color rgb="FFFFFFFF"/>
        <rFont val="Arial"/>
        <family val="2"/>
      </rPr>
      <t>Referencia</t>
    </r>
  </si>
  <si>
    <r>
      <rPr>
        <b/>
        <sz val="8"/>
        <color rgb="FFFFFFFF"/>
        <rFont val="Arial"/>
        <family val="2"/>
      </rPr>
      <t>Descripción</t>
    </r>
  </si>
  <si>
    <r>
      <rPr>
        <b/>
        <sz val="8"/>
        <color rgb="FFFFFFFF"/>
        <rFont val="Arial"/>
        <family val="2"/>
      </rPr>
      <t>Fecha</t>
    </r>
  </si>
  <si>
    <r>
      <rPr>
        <b/>
        <sz val="8"/>
        <color rgb="FFFFFFFF"/>
        <rFont val="Arial"/>
        <family val="2"/>
      </rPr>
      <t>Mov</t>
    </r>
  </si>
  <si>
    <r>
      <rPr>
        <b/>
        <sz val="8"/>
        <color rgb="FFFFFFFF"/>
        <rFont val="Arial"/>
        <family val="2"/>
      </rPr>
      <t>Débito</t>
    </r>
  </si>
  <si>
    <r>
      <rPr>
        <b/>
        <sz val="8"/>
        <color rgb="FFFFFFFF"/>
        <rFont val="Arial"/>
        <family val="2"/>
      </rPr>
      <t>Crédito</t>
    </r>
  </si>
  <si>
    <r>
      <rPr>
        <b/>
        <sz val="8"/>
        <color rgb="FFFFFFFF"/>
        <rFont val="Arial"/>
        <family val="2"/>
      </rPr>
      <t>Saldo</t>
    </r>
  </si>
  <si>
    <r>
      <rPr>
        <sz val="8"/>
        <color rgb="FF505050"/>
        <rFont val="Arial MT"/>
        <family val="2"/>
      </rPr>
      <t>SALDO INICIAL</t>
    </r>
  </si>
  <si>
    <r>
      <rPr>
        <sz val="8"/>
        <color rgb="FF505050"/>
        <rFont val="Arial MT"/>
        <family val="2"/>
      </rPr>
      <t>SI</t>
    </r>
  </si>
  <si>
    <r>
      <rPr>
        <sz val="8"/>
        <color rgb="FF505050"/>
        <rFont val="Arial MT"/>
        <family val="2"/>
      </rPr>
      <t>COM MANTENIMIENTO DE CUENTA</t>
    </r>
  </si>
  <si>
    <r>
      <rPr>
        <sz val="8"/>
        <color rgb="FF505050"/>
        <rFont val="Arial MT"/>
        <family val="2"/>
      </rPr>
      <t>ND</t>
    </r>
  </si>
  <si>
    <r>
      <rPr>
        <sz val="8"/>
        <color rgb="FF505050"/>
        <rFont val="Arial MT"/>
        <family val="2"/>
      </rPr>
      <t>PAGOMOVIL BDV V28023800 FRANCISCO MADRIZ</t>
    </r>
  </si>
  <si>
    <r>
      <rPr>
        <sz val="8"/>
        <color rgb="FF505050"/>
        <rFont val="Arial MT"/>
        <family val="2"/>
      </rPr>
      <t>NC</t>
    </r>
  </si>
  <si>
    <r>
      <rPr>
        <sz val="8"/>
        <color rgb="FF505050"/>
        <rFont val="Arial MT"/>
        <family val="2"/>
      </rPr>
      <t>COBRO COMISION PAG MOVIL BDV A</t>
    </r>
  </si>
  <si>
    <r>
      <rPr>
        <sz val="8"/>
        <color rgb="FF505050"/>
        <rFont val="Arial MT"/>
        <family val="2"/>
      </rPr>
      <t>PAGOMOVIL OTROS BANCOS 0105 04243252293</t>
    </r>
  </si>
  <si>
    <r>
      <rPr>
        <sz val="8"/>
        <color rgb="FF505050"/>
        <rFont val="Arial MT"/>
        <family val="2"/>
      </rPr>
      <t>COMISION PAGOMOVILBDV</t>
    </r>
  </si>
  <si>
    <r>
      <rPr>
        <sz val="8"/>
        <color rgb="FF505050"/>
        <rFont val="Arial MT"/>
        <family val="2"/>
      </rPr>
      <t>PAGO A PROVEEDORES BDV V014744149 LOTE 00414974</t>
    </r>
  </si>
  <si>
    <r>
      <rPr>
        <sz val="8"/>
        <color rgb="FF505050"/>
        <rFont val="Arial MT"/>
        <family val="2"/>
      </rPr>
      <t>COMISION PAGO A PROVEEDORES</t>
    </r>
  </si>
  <si>
    <r>
      <rPr>
        <sz val="8"/>
        <color rgb="FF505050"/>
        <rFont val="Arial MT"/>
        <family val="2"/>
      </rPr>
      <t>PAGO A PROVEEDORES BDV V014744149 LOTE 00414979</t>
    </r>
  </si>
  <si>
    <r>
      <rPr>
        <sz val="8"/>
        <color rgb="FF505050"/>
        <rFont val="Arial MT"/>
        <family val="2"/>
      </rPr>
      <t>PAGO A PROVEEDORES BDV V014744149 LOTE 00415006</t>
    </r>
  </si>
  <si>
    <r>
      <rPr>
        <sz val="8"/>
        <color rgb="FF505050"/>
        <rFont val="Arial MT"/>
        <family val="2"/>
      </rPr>
      <t>PAGOMOVIL OTROS BANCOS 0134 04142254712</t>
    </r>
  </si>
  <si>
    <r>
      <rPr>
        <sz val="8"/>
        <color rgb="FF505050"/>
        <rFont val="Arial MT"/>
        <family val="2"/>
      </rPr>
      <t>PAGO A PROVEEDORES BDV V014744149 LOTE 00415313</t>
    </r>
  </si>
  <si>
    <r>
      <rPr>
        <sz val="8"/>
        <color rgb="FF505050"/>
        <rFont val="Arial MT"/>
        <family val="2"/>
      </rPr>
      <t>PAGOMOVIL OTROS BANCOS 0191 04141500569</t>
    </r>
  </si>
  <si>
    <r>
      <rPr>
        <sz val="8"/>
        <color rgb="FF505050"/>
        <rFont val="Arial MT"/>
        <family val="2"/>
      </rPr>
      <t>PAGO A PROVEEDORES BDV V014744149 LOTE 00415779</t>
    </r>
  </si>
  <si>
    <r>
      <rPr>
        <sz val="8"/>
        <color rgb="FF505050"/>
        <rFont val="Arial MT"/>
        <family val="2"/>
      </rPr>
      <t>PAGOMOVIL BDV V22764031 JONATHAN APONTE</t>
    </r>
  </si>
  <si>
    <r>
      <rPr>
        <sz val="8"/>
        <color rgb="FF505050"/>
        <rFont val="Arial MT"/>
        <family val="2"/>
      </rPr>
      <t>PAGOMOVIL OTROS BANCOS 0007 04129709191</t>
    </r>
  </si>
  <si>
    <r>
      <rPr>
        <sz val="8"/>
        <color rgb="FF505050"/>
        <rFont val="Arial MT"/>
        <family val="2"/>
      </rPr>
      <t>PAGO A PROVEEDORES BDV V014744149 LOTE 00416112</t>
    </r>
  </si>
  <si>
    <r>
      <rPr>
        <sz val="8"/>
        <color rgb="FF505050"/>
        <rFont val="Arial MT"/>
        <family val="2"/>
      </rPr>
      <t>PAGO A PROVEEDORES BDV V014744149 LOTE 00416277</t>
    </r>
  </si>
  <si>
    <r>
      <rPr>
        <sz val="8"/>
        <color rgb="FF505050"/>
        <rFont val="Arial MT"/>
        <family val="2"/>
      </rPr>
      <t>PAGO A PROVEEDORES BDV V014744149 LOTE 00416725</t>
    </r>
  </si>
  <si>
    <r>
      <rPr>
        <sz val="8"/>
        <color rgb="FF505050"/>
        <rFont val="Arial MT"/>
        <family val="2"/>
      </rPr>
      <t>PAGO A PROVEEDORES BDV V014744149 LOTE 00416983</t>
    </r>
  </si>
  <si>
    <r>
      <rPr>
        <sz val="8"/>
        <color rgb="FF505050"/>
        <rFont val="Arial MT"/>
        <family val="2"/>
      </rPr>
      <t>PAGO A PROVEEDORES BDV V014744149 LOTE 00417727</t>
    </r>
  </si>
  <si>
    <r>
      <rPr>
        <sz val="8"/>
        <color rgb="FF505050"/>
        <rFont val="Arial MT"/>
        <family val="2"/>
      </rPr>
      <t>PAGO A PROVEEDORES BDV V014744149 LOTE 00418316</t>
    </r>
  </si>
  <si>
    <r>
      <rPr>
        <sz val="8"/>
        <color rgb="FF505050"/>
        <rFont val="Arial MT"/>
        <family val="2"/>
      </rPr>
      <t>PAGO A PROVEEDORES BDV V014744149 LOTE 00418796</t>
    </r>
  </si>
  <si>
    <r>
      <rPr>
        <sz val="8"/>
        <color rgb="FF505050"/>
        <rFont val="Arial MT"/>
        <family val="2"/>
      </rPr>
      <t>PAGO A PROVEEDORES BDV V014744149 LOTE 00420471</t>
    </r>
  </si>
  <si>
    <r>
      <rPr>
        <sz val="8"/>
        <color rgb="FF505050"/>
        <rFont val="Arial MT"/>
        <family val="2"/>
      </rPr>
      <t>PAGO A PROVEEDORES BDV V014744149 LOTE 00421272</t>
    </r>
  </si>
  <si>
    <r>
      <rPr>
        <sz val="8"/>
        <color rgb="FF505050"/>
        <rFont val="Arial MT"/>
        <family val="2"/>
      </rPr>
      <t>PAGO A PROVEEDORES BDV V014744149 LOTE 00421549</t>
    </r>
  </si>
  <si>
    <r>
      <rPr>
        <sz val="8"/>
        <color rgb="FF505050"/>
        <rFont val="Arial MT"/>
        <family val="2"/>
      </rPr>
      <t>PAGOMOVIL OTROS BANCOS 0134 04120301787</t>
    </r>
  </si>
  <si>
    <r>
      <rPr>
        <sz val="8"/>
        <color rgb="FF505050"/>
        <rFont val="Arial MT"/>
        <family val="2"/>
      </rPr>
      <t>PAGO A PROVEEDORES BDV V014744149 LOTE 00422325</t>
    </r>
  </si>
  <si>
    <r>
      <rPr>
        <sz val="8"/>
        <color rgb="FF505050"/>
        <rFont val="Arial MT"/>
        <family val="2"/>
      </rPr>
      <t>PAGO A PROVEEDORES BDV V014744149 LOTE 00422536</t>
    </r>
  </si>
  <si>
    <r>
      <rPr>
        <sz val="8"/>
        <color rgb="FF505050"/>
        <rFont val="Arial MT"/>
        <family val="2"/>
      </rPr>
      <t>PAGO A PROVEEDORES BDV V014744149 LOTE 00422745</t>
    </r>
  </si>
  <si>
    <r>
      <rPr>
        <sz val="8"/>
        <color rgb="FF505050"/>
        <rFont val="Arial MT"/>
        <family val="2"/>
      </rPr>
      <t>PAGO A PROVEEDORES BDV V014744149 LOTE 00423024</t>
    </r>
  </si>
  <si>
    <r>
      <rPr>
        <sz val="8"/>
        <color rgb="FF505050"/>
        <rFont val="Arial MT"/>
        <family val="2"/>
      </rPr>
      <t>PAGOMOVIL BDV V17166420 ARTURO ZORRILLA</t>
    </r>
  </si>
  <si>
    <r>
      <rPr>
        <sz val="8"/>
        <color rgb="FF505050"/>
        <rFont val="Arial MT"/>
        <family val="2"/>
      </rPr>
      <t>PAGO A PROVEEDORES BDV V014744149 LOTE 00423809</t>
    </r>
  </si>
  <si>
    <r>
      <rPr>
        <sz val="8"/>
        <color rgb="FF505050"/>
        <rFont val="Arial MT"/>
        <family val="2"/>
      </rPr>
      <t>PAGO A PROVEEDORES BDV V014744149 LOTE 00423875</t>
    </r>
  </si>
  <si>
    <r>
      <rPr>
        <sz val="8"/>
        <color rgb="FF505050"/>
        <rFont val="Arial MT"/>
        <family val="2"/>
      </rPr>
      <t>PAGO A PROVEEDORES BDV V014744149 LOTE 00423986</t>
    </r>
  </si>
  <si>
    <r>
      <rPr>
        <sz val="8"/>
        <color rgb="FF505050"/>
        <rFont val="Arial MT"/>
        <family val="2"/>
      </rPr>
      <t>PAGO A PROVEEDORES BDV V014744149 LOTE 00424503</t>
    </r>
  </si>
  <si>
    <r>
      <rPr>
        <sz val="8"/>
        <color rgb="FF505050"/>
        <rFont val="Arial MT"/>
        <family val="2"/>
      </rPr>
      <t>PAGO A PROVEEDORES BDV V014744149 LOTE 00425152</t>
    </r>
  </si>
  <si>
    <r>
      <rPr>
        <sz val="8"/>
        <color rgb="FF505050"/>
        <rFont val="Arial MT"/>
        <family val="2"/>
      </rPr>
      <t>PAGO A PROVEEDORES BDV V014744149 LOTE 00425481</t>
    </r>
  </si>
  <si>
    <r>
      <rPr>
        <sz val="8"/>
        <color rgb="FF505050"/>
        <rFont val="Arial MT"/>
        <family val="2"/>
      </rPr>
      <t>PAGO A PROVEEDORES BDV V014744149 LOTE 00425750</t>
    </r>
  </si>
  <si>
    <r>
      <rPr>
        <sz val="8"/>
        <color rgb="FF505050"/>
        <rFont val="Arial MT"/>
        <family val="2"/>
      </rPr>
      <t>PAGO A PROVEEDORES BDV V014744149 LOTE 00426043</t>
    </r>
  </si>
  <si>
    <r>
      <rPr>
        <sz val="8"/>
        <color rgb="FF505050"/>
        <rFont val="Arial MT"/>
        <family val="2"/>
      </rPr>
      <t>PAGO A PROVEEDORES BDV V014744149 LOTE 00426371</t>
    </r>
  </si>
  <si>
    <r>
      <rPr>
        <sz val="8"/>
        <color rgb="FF505050"/>
        <rFont val="Arial MT"/>
        <family val="2"/>
      </rPr>
      <t>PAGOMOVIL BDV V028023800 FRANCISCO MADRIZ</t>
    </r>
  </si>
  <si>
    <r>
      <rPr>
        <sz val="8"/>
        <color rgb="FF505050"/>
        <rFont val="Arial MT"/>
        <family val="2"/>
      </rPr>
      <t>PAGO A PROVEEDORES BDV V014744149 LOTE 00426605</t>
    </r>
  </si>
  <si>
    <r>
      <rPr>
        <sz val="8"/>
        <color rgb="FF505050"/>
        <rFont val="Arial MT"/>
        <family val="2"/>
      </rPr>
      <t>PAGOMOVIL BDV V022764031 JONATHAN APONTE</t>
    </r>
  </si>
  <si>
    <r>
      <rPr>
        <sz val="8"/>
        <color rgb="FF505050"/>
        <rFont val="Arial MT"/>
        <family val="2"/>
      </rPr>
      <t>PAGOMOVIL BDV V017166420 ARTURO ZORRILLA</t>
    </r>
  </si>
  <si>
    <r>
      <rPr>
        <sz val="8"/>
        <color rgb="FF505050"/>
        <rFont val="Arial MT"/>
        <family val="2"/>
      </rPr>
      <t>PAGO A PROVEEDORES BDV V014744149 LOTE 00426820</t>
    </r>
  </si>
  <si>
    <r>
      <rPr>
        <sz val="8"/>
        <color rgb="FF505050"/>
        <rFont val="Arial MT"/>
        <family val="2"/>
      </rPr>
      <t>PAGO A PROVEEDORES BDV V014744149 LOTE 00426850</t>
    </r>
  </si>
  <si>
    <r>
      <rPr>
        <sz val="8"/>
        <color rgb="FF505050"/>
        <rFont val="Arial MT"/>
        <family val="2"/>
      </rPr>
      <t>PAGO A PROVEEDORES BDV V014744149 LOTE 00427527</t>
    </r>
  </si>
  <si>
    <r>
      <rPr>
        <sz val="8"/>
        <color rgb="FF505050"/>
        <rFont val="Arial MT"/>
        <family val="2"/>
      </rPr>
      <t>PAGO A PROVEEDORES BDV V014744149 LOTE 00427633</t>
    </r>
  </si>
  <si>
    <r>
      <rPr>
        <sz val="8"/>
        <color rgb="FF505050"/>
        <rFont val="Arial MT"/>
        <family val="2"/>
      </rPr>
      <t>PAGO A PROVEEDORES BDV V014744149 LOTE 00427638</t>
    </r>
  </si>
  <si>
    <r>
      <rPr>
        <sz val="8"/>
        <color rgb="FF505050"/>
        <rFont val="Arial MT"/>
        <family val="2"/>
      </rPr>
      <t>PAGO A PROVEEDORES BDV V014744149 LOTE 00428128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</si>
</sst>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d/mm/yyyy;@"/>
    <numFmt numFmtId="165" formatCode="0000000000000"/>
  </numFmts>
  <fonts count="11">
    <font>
      <sz val="10"/>
      <color rgb="FF000000"/>
      <name val="Times New Roman"/>
      <charset val="204"/>
    </font>
    <font>
      <b/>
      <sz val="10"/>
      <name val="Arial"/>
      <family val="2"/>
    </font>
    <font>
      <sz val="10"/>
      <name val="Arial MT"/>
    </font>
    <font>
      <sz val="10"/>
      <color rgb="FF505050"/>
      <name val="Arial MT"/>
      <family val="2"/>
    </font>
    <font>
      <b/>
      <sz val="10"/>
      <color rgb="FFFFFFFF"/>
      <name val="Arial"/>
      <family val="2"/>
    </font>
    <font>
      <sz val="10"/>
      <color rgb="FF000000"/>
      <name val="Times New Roman"/>
      <family val="1"/>
    </font>
    <font>
      <b/>
      <sz val="8"/>
      <name val="Arial"/>
      <family val="2"/>
    </font>
    <font>
      <b/>
      <sz val="8"/>
      <color rgb="FFFFFFFF"/>
      <name val="Arial"/>
      <family val="2"/>
    </font>
    <font>
      <sz val="8"/>
      <color rgb="FF000000"/>
      <name val="Times New Roman"/>
      <family val="1"/>
    </font>
    <font>
      <sz val="8"/>
      <name val="Arial MT"/>
    </font>
    <font>
      <sz val="8"/>
      <color rgb="FF505050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287FBA"/>
      </patternFill>
    </fill>
    <fill>
      <patternFill patternType="solid">
        <fgColor rgb="FFF4F4F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6">
    <xf numFmtId="0" fontId="0" fillId="0" borderId="0" xfId="0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 wrapText="1" indent="1"/>
    </xf>
    <xf numFmtId="164" fontId="3" fillId="3" borderId="0" xfId="0" applyNumberFormat="1" applyFont="1" applyFill="1" applyBorder="1" applyAlignment="1">
      <alignment horizontal="left" vertical="top" indent="1" shrinkToFit="1"/>
    </xf>
    <xf numFmtId="0" fontId="2" fillId="3" borderId="0" xfId="0" applyFont="1" applyFill="1" applyBorder="1" applyAlignment="1">
      <alignment horizontal="left" vertical="top" wrapText="1" indent="1"/>
    </xf>
    <xf numFmtId="2" fontId="3" fillId="3" borderId="0" xfId="0" applyNumberFormat="1" applyFont="1" applyFill="1" applyBorder="1" applyAlignment="1">
      <alignment horizontal="left" vertical="top" indent="1" shrinkToFit="1"/>
    </xf>
    <xf numFmtId="2" fontId="3" fillId="3" borderId="0" xfId="0" applyNumberFormat="1" applyFont="1" applyFill="1" applyBorder="1" applyAlignment="1">
      <alignment horizontal="left" vertical="top" shrinkToFit="1"/>
    </xf>
    <xf numFmtId="4" fontId="3" fillId="3" borderId="0" xfId="0" applyNumberFormat="1" applyFont="1" applyFill="1" applyBorder="1" applyAlignment="1">
      <alignment horizontal="left" vertical="top" shrinkToFit="1"/>
    </xf>
    <xf numFmtId="165" fontId="3" fillId="0" borderId="0" xfId="0" applyNumberFormat="1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horizontal="left" vertical="top" wrapText="1"/>
    </xf>
    <xf numFmtId="164" fontId="3" fillId="0" borderId="0" xfId="0" applyNumberFormat="1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horizontal="center" vertical="top" wrapText="1"/>
    </xf>
    <xf numFmtId="2" fontId="3" fillId="0" borderId="0" xfId="0" applyNumberFormat="1" applyFont="1" applyFill="1" applyBorder="1" applyAlignment="1">
      <alignment horizontal="left" vertical="top" indent="1" shrinkToFit="1"/>
    </xf>
    <xf numFmtId="2" fontId="3" fillId="0" borderId="0" xfId="0" applyNumberFormat="1" applyFont="1" applyFill="1" applyBorder="1" applyAlignment="1">
      <alignment horizontal="left" vertical="top" shrinkToFit="1"/>
    </xf>
    <xf numFmtId="4" fontId="3" fillId="0" borderId="0" xfId="0" applyNumberFormat="1" applyFont="1" applyFill="1" applyBorder="1" applyAlignment="1">
      <alignment horizontal="center" vertical="top" shrinkToFit="1"/>
    </xf>
    <xf numFmtId="165" fontId="3" fillId="3" borderId="0" xfId="0" applyNumberFormat="1" applyFont="1" applyFill="1" applyBorder="1" applyAlignment="1">
      <alignment horizontal="center" vertical="top" shrinkToFit="1"/>
    </xf>
    <xf numFmtId="0" fontId="2" fillId="3" borderId="0" xfId="0" applyFont="1" applyFill="1" applyBorder="1" applyAlignment="1">
      <alignment horizontal="left" vertical="top" wrapText="1"/>
    </xf>
    <xf numFmtId="164" fontId="3" fillId="3" borderId="0" xfId="0" applyNumberFormat="1" applyFont="1" applyFill="1" applyBorder="1" applyAlignment="1">
      <alignment horizontal="center" vertical="top" shrinkToFit="1"/>
    </xf>
    <xf numFmtId="0" fontId="2" fillId="3" borderId="0" xfId="0" applyFont="1" applyFill="1" applyBorder="1" applyAlignment="1">
      <alignment horizontal="center" vertical="top" wrapText="1"/>
    </xf>
    <xf numFmtId="4" fontId="3" fillId="3" borderId="0" xfId="0" applyNumberFormat="1" applyFont="1" applyFill="1" applyBorder="1" applyAlignment="1">
      <alignment horizontal="center" vertical="top" shrinkToFit="1"/>
    </xf>
    <xf numFmtId="4" fontId="3" fillId="3" borderId="0" xfId="0" applyNumberFormat="1" applyFont="1" applyFill="1" applyBorder="1" applyAlignment="1">
      <alignment horizontal="left" vertical="top" indent="1" shrinkToFit="1"/>
    </xf>
    <xf numFmtId="165" fontId="3" fillId="3" borderId="0" xfId="0" applyNumberFormat="1" applyFont="1" applyFill="1" applyBorder="1" applyAlignment="1">
      <alignment horizontal="left" vertical="top" shrinkToFit="1"/>
    </xf>
    <xf numFmtId="164" fontId="3" fillId="3" borderId="0" xfId="0" applyNumberFormat="1" applyFont="1" applyFill="1" applyBorder="1" applyAlignment="1">
      <alignment horizontal="left" vertical="top" shrinkToFit="1"/>
    </xf>
    <xf numFmtId="164" fontId="3" fillId="0" borderId="0" xfId="0" applyNumberFormat="1" applyFont="1" applyFill="1" applyBorder="1" applyAlignment="1">
      <alignment horizontal="left" vertical="top" shrinkToFit="1"/>
    </xf>
    <xf numFmtId="4" fontId="3" fillId="0" borderId="0" xfId="0" applyNumberFormat="1" applyFont="1" applyFill="1" applyBorder="1" applyAlignment="1">
      <alignment horizontal="left" vertical="top" shrinkToFit="1"/>
    </xf>
    <xf numFmtId="0" fontId="6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164" fontId="10" fillId="3" borderId="0" xfId="0" applyNumberFormat="1" applyFont="1" applyFill="1" applyBorder="1" applyAlignment="1">
      <alignment horizontal="center" vertical="top" shrinkToFit="1"/>
    </xf>
    <xf numFmtId="0" fontId="9" fillId="3" borderId="0" xfId="0" applyFont="1" applyFill="1" applyBorder="1" applyAlignment="1">
      <alignment horizontal="left" vertical="top" wrapText="1" indent="1"/>
    </xf>
    <xf numFmtId="0" fontId="8" fillId="0" borderId="0" xfId="0" applyFont="1" applyFill="1" applyBorder="1" applyAlignment="1">
      <alignment horizontal="left" vertical="top"/>
    </xf>
    <xf numFmtId="165" fontId="10" fillId="0" borderId="0" xfId="0" applyNumberFormat="1" applyFont="1" applyFill="1" applyBorder="1" applyAlignment="1">
      <alignment horizontal="left" vertical="top" shrinkToFit="1"/>
    </xf>
    <xf numFmtId="0" fontId="9" fillId="0" borderId="0" xfId="0" applyFont="1" applyFill="1" applyBorder="1" applyAlignment="1">
      <alignment horizontal="left" vertical="top" wrapText="1"/>
    </xf>
    <xf numFmtId="164" fontId="10" fillId="0" borderId="0" xfId="0" applyNumberFormat="1" applyFont="1" applyFill="1" applyBorder="1" applyAlignment="1">
      <alignment horizontal="center" vertical="top" shrinkToFit="1"/>
    </xf>
    <xf numFmtId="0" fontId="9" fillId="0" borderId="0" xfId="0" applyFont="1" applyFill="1" applyBorder="1" applyAlignment="1">
      <alignment horizontal="center" vertical="top" wrapText="1"/>
    </xf>
    <xf numFmtId="165" fontId="10" fillId="3" borderId="0" xfId="0" applyNumberFormat="1" applyFont="1" applyFill="1" applyBorder="1" applyAlignment="1">
      <alignment horizontal="left" vertical="top" shrinkToFit="1"/>
    </xf>
    <xf numFmtId="0" fontId="9" fillId="3" borderId="0" xfId="0" applyFont="1" applyFill="1" applyBorder="1" applyAlignment="1">
      <alignment horizontal="left" vertical="top" wrapText="1"/>
    </xf>
    <xf numFmtId="0" fontId="9" fillId="3" borderId="0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center" vertical="top"/>
    </xf>
    <xf numFmtId="43" fontId="10" fillId="3" borderId="0" xfId="1" applyFont="1" applyFill="1" applyBorder="1" applyAlignment="1">
      <alignment horizontal="left" vertical="top" indent="1" shrinkToFit="1"/>
    </xf>
    <xf numFmtId="43" fontId="10" fillId="3" borderId="0" xfId="1" applyFont="1" applyFill="1" applyBorder="1" applyAlignment="1">
      <alignment horizontal="left" vertical="top" shrinkToFit="1"/>
    </xf>
    <xf numFmtId="43" fontId="10" fillId="0" borderId="0" xfId="1" applyFont="1" applyFill="1" applyBorder="1" applyAlignment="1">
      <alignment horizontal="left" vertical="top" indent="1" shrinkToFit="1"/>
    </xf>
    <xf numFmtId="43" fontId="10" fillId="0" borderId="0" xfId="1" applyFont="1" applyFill="1" applyBorder="1" applyAlignment="1">
      <alignment horizontal="left" vertical="top" shrinkToFit="1"/>
    </xf>
    <xf numFmtId="43" fontId="8" fillId="0" borderId="0" xfId="1" applyFont="1" applyFill="1" applyBorder="1" applyAlignment="1">
      <alignment horizontal="left" vertical="top"/>
    </xf>
    <xf numFmtId="0" fontId="9" fillId="3" borderId="0" xfId="0" applyFont="1" applyFill="1" applyBorder="1" applyAlignment="1">
      <alignment horizontal="left" vertical="top" wrapText="1" indent="11"/>
    </xf>
    <xf numFmtId="0" fontId="2" fillId="3" borderId="0" xfId="0" applyFont="1" applyFill="1" applyBorder="1" applyAlignment="1">
      <alignment horizontal="left" vertical="top" wrapText="1" indent="1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35050" cy="2730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  <xdr:oneCellAnchor>
    <xdr:from>
      <xdr:col>0</xdr:col>
      <xdr:colOff>0</xdr:colOff>
      <xdr:row>15</xdr:row>
      <xdr:rowOff>0</xdr:rowOff>
    </xdr:from>
    <xdr:ext cx="1035050" cy="2730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1200-000017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238495</xdr:colOff>
      <xdr:row>12</xdr:row>
      <xdr:rowOff>0</xdr:rowOff>
    </xdr:from>
    <xdr:ext cx="7444105" cy="466725"/>
    <xdr:grpSp>
      <xdr:nvGrpSpPr>
        <xdr:cNvPr id="30" name="Group 30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GrpSpPr/>
      </xdr:nvGrpSpPr>
      <xdr:grpSpPr>
        <a:xfrm>
          <a:off x="238495" y="6429375"/>
          <a:ext cx="7444105" cy="466725"/>
          <a:chOff x="0" y="0"/>
          <a:chExt cx="7444105" cy="466725"/>
        </a:xfrm>
      </xdr:grpSpPr>
      <xdr:pic>
        <xdr:nvPicPr>
          <xdr:cNvPr id="31" name="image5.jpeg">
            <a:extLst>
              <a:ext uri="{FF2B5EF4-FFF2-40B4-BE49-F238E27FC236}">
                <a16:creationId xmlns:a16="http://schemas.microsoft.com/office/drawing/2014/main" id="{00000000-0008-0000-16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374065" cy="404210"/>
          </a:xfrm>
          <a:prstGeom prst="rect">
            <a:avLst/>
          </a:prstGeom>
        </xdr:spPr>
      </xdr:pic>
      <xdr:sp macro="" textlink="">
        <xdr:nvSpPr>
          <xdr:cNvPr id="32" name="Textbox 32">
            <a:extLst>
              <a:ext uri="{FF2B5EF4-FFF2-40B4-BE49-F238E27FC236}">
                <a16:creationId xmlns:a16="http://schemas.microsoft.com/office/drawing/2014/main" id="{00000000-0008-0000-1600-000020000000}"/>
              </a:ext>
            </a:extLst>
          </xdr:cNvPr>
          <xdr:cNvSpPr txBox="1"/>
        </xdr:nvSpPr>
        <xdr:spPr>
          <a:xfrm>
            <a:off x="0" y="0"/>
            <a:ext cx="7444105" cy="46672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r>
              <a:rPr sz="1200" b="0">
                <a:latin typeface="Times New Roman"/>
                <a:cs typeface="Times New Roman"/>
              </a:rPr>
              <a:t>Pagina: 23/23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E835-7775-433C-BCE9-8DE57AC31BC9}">
  <dimension ref="A1:G320"/>
  <sheetViews>
    <sheetView tabSelected="1" workbookViewId="0">
      <selection activeCell="A2" sqref="A2:G320"/>
    </sheetView>
  </sheetViews>
  <sheetFormatPr baseColWidth="10" defaultColWidth="9.33203125" defaultRowHeight="9.9499999999999993" customHeight="1"/>
  <cols>
    <col min="1" max="1" width="17.33203125" style="30" customWidth="1"/>
    <col min="2" max="2" width="52.5" style="30" customWidth="1"/>
    <col min="3" max="3" width="10.1640625" style="38" bestFit="1" customWidth="1"/>
    <col min="4" max="4" width="6.6640625" style="38" customWidth="1"/>
    <col min="5" max="5" width="12.33203125" style="30" bestFit="1" customWidth="1"/>
    <col min="6" max="7" width="12.6640625" style="30" bestFit="1" customWidth="1"/>
    <col min="8" max="16384" width="9.33203125" style="30"/>
  </cols>
  <sheetData>
    <row r="1" spans="1:7" ht="9.9499999999999993" customHeight="1">
      <c r="E1" s="30">
        <f>SUBTOTAL(9,E3,E4:E320)</f>
        <v>-3254295.6999999997</v>
      </c>
      <c r="F1" s="43">
        <f>SUBTOTAL(9,F3,F4:F320)</f>
        <v>3219507.6999999997</v>
      </c>
      <c r="G1" s="43">
        <f>E1+F1</f>
        <v>-34788</v>
      </c>
    </row>
    <row r="2" spans="1:7" s="27" customFormat="1" ht="9.9499999999999993" customHeight="1">
      <c r="A2" s="25" t="s">
        <v>61</v>
      </c>
      <c r="B2" s="26" t="s">
        <v>62</v>
      </c>
      <c r="C2" s="26" t="s">
        <v>63</v>
      </c>
      <c r="D2" s="26" t="s">
        <v>64</v>
      </c>
      <c r="E2" s="26" t="s">
        <v>65</v>
      </c>
      <c r="F2" s="26" t="s">
        <v>66</v>
      </c>
      <c r="G2" s="26" t="s">
        <v>67</v>
      </c>
    </row>
    <row r="3" spans="1:7" ht="9.9499999999999993" customHeight="1">
      <c r="A3" s="44" t="s">
        <v>68</v>
      </c>
      <c r="B3" s="44"/>
      <c r="C3" s="28">
        <v>46082</v>
      </c>
      <c r="D3" s="29" t="s">
        <v>69</v>
      </c>
      <c r="E3" s="39">
        <v>0</v>
      </c>
      <c r="F3" s="40">
        <v>0</v>
      </c>
      <c r="G3" s="40">
        <v>625269.51</v>
      </c>
    </row>
    <row r="4" spans="1:7" ht="9.9499999999999993" customHeight="1">
      <c r="A4" s="31">
        <v>120200001002</v>
      </c>
      <c r="B4" s="32" t="s">
        <v>70</v>
      </c>
      <c r="C4" s="33">
        <v>46082</v>
      </c>
      <c r="D4" s="34" t="s">
        <v>71</v>
      </c>
      <c r="E4" s="41">
        <v>-8</v>
      </c>
      <c r="F4" s="42">
        <v>0</v>
      </c>
      <c r="G4" s="40">
        <f>G3+E4+F4</f>
        <v>625261.51</v>
      </c>
    </row>
    <row r="5" spans="1:7" ht="9.9499999999999993" customHeight="1">
      <c r="A5" s="35">
        <v>677234287733</v>
      </c>
      <c r="B5" s="36" t="s">
        <v>72</v>
      </c>
      <c r="C5" s="28">
        <v>46082</v>
      </c>
      <c r="D5" s="37" t="s">
        <v>73</v>
      </c>
      <c r="E5" s="39">
        <v>0</v>
      </c>
      <c r="F5" s="40">
        <v>33389</v>
      </c>
      <c r="G5" s="40">
        <f t="shared" ref="G5:G68" si="0">G4+E5+F5</f>
        <v>658650.51</v>
      </c>
    </row>
    <row r="6" spans="1:7" ht="9.9499999999999993" customHeight="1">
      <c r="A6" s="31">
        <v>210034287733</v>
      </c>
      <c r="B6" s="32" t="s">
        <v>74</v>
      </c>
      <c r="C6" s="33">
        <v>46082</v>
      </c>
      <c r="D6" s="34" t="s">
        <v>71</v>
      </c>
      <c r="E6" s="41">
        <v>-500.84</v>
      </c>
      <c r="F6" s="42">
        <v>0</v>
      </c>
      <c r="G6" s="40">
        <f t="shared" si="0"/>
        <v>658149.67000000004</v>
      </c>
    </row>
    <row r="7" spans="1:7" ht="9.9499999999999993" customHeight="1">
      <c r="A7" s="35">
        <v>50957271294</v>
      </c>
      <c r="B7" s="36" t="s">
        <v>75</v>
      </c>
      <c r="C7" s="28">
        <v>46082</v>
      </c>
      <c r="D7" s="37" t="s">
        <v>73</v>
      </c>
      <c r="E7" s="39">
        <v>0</v>
      </c>
      <c r="F7" s="40">
        <v>21000</v>
      </c>
      <c r="G7" s="40">
        <f t="shared" si="0"/>
        <v>679149.67</v>
      </c>
    </row>
    <row r="8" spans="1:7" ht="9.9499999999999993" customHeight="1">
      <c r="A8" s="31">
        <v>27257271294</v>
      </c>
      <c r="B8" s="32" t="s">
        <v>76</v>
      </c>
      <c r="C8" s="33">
        <v>46082</v>
      </c>
      <c r="D8" s="34" t="s">
        <v>71</v>
      </c>
      <c r="E8" s="41">
        <v>-315</v>
      </c>
      <c r="F8" s="42">
        <v>0</v>
      </c>
      <c r="G8" s="40">
        <f t="shared" si="0"/>
        <v>678834.67</v>
      </c>
    </row>
    <row r="9" spans="1:7" ht="9.9499999999999993" customHeight="1">
      <c r="A9" s="35">
        <v>329256266241</v>
      </c>
      <c r="B9" s="36" t="s">
        <v>77</v>
      </c>
      <c r="C9" s="28">
        <v>46082</v>
      </c>
      <c r="D9" s="37" t="s">
        <v>71</v>
      </c>
      <c r="E9" s="39">
        <v>-20000</v>
      </c>
      <c r="F9" s="40">
        <v>0</v>
      </c>
      <c r="G9" s="40">
        <f t="shared" si="0"/>
        <v>658834.67000000004</v>
      </c>
    </row>
    <row r="10" spans="1:7" ht="9.9499999999999993" customHeight="1">
      <c r="A10" s="31">
        <v>676256266241</v>
      </c>
      <c r="B10" s="32" t="s">
        <v>78</v>
      </c>
      <c r="C10" s="33">
        <v>46082</v>
      </c>
      <c r="D10" s="34" t="s">
        <v>71</v>
      </c>
      <c r="E10" s="41">
        <v>-50</v>
      </c>
      <c r="F10" s="42">
        <v>0</v>
      </c>
      <c r="G10" s="40">
        <f t="shared" si="0"/>
        <v>658784.67000000004</v>
      </c>
    </row>
    <row r="11" spans="1:7" ht="9.9499999999999993" customHeight="1">
      <c r="A11" s="35">
        <v>329256266779</v>
      </c>
      <c r="B11" s="36" t="s">
        <v>79</v>
      </c>
      <c r="C11" s="28">
        <v>46082</v>
      </c>
      <c r="D11" s="37" t="s">
        <v>71</v>
      </c>
      <c r="E11" s="39">
        <v>-15000</v>
      </c>
      <c r="F11" s="40">
        <v>0</v>
      </c>
      <c r="G11" s="40">
        <f t="shared" si="0"/>
        <v>643784.67000000004</v>
      </c>
    </row>
    <row r="12" spans="1:7" ht="9.9499999999999993" customHeight="1">
      <c r="A12" s="31">
        <v>676256266779</v>
      </c>
      <c r="B12" s="32" t="s">
        <v>78</v>
      </c>
      <c r="C12" s="33">
        <v>46082</v>
      </c>
      <c r="D12" s="34" t="s">
        <v>71</v>
      </c>
      <c r="E12" s="41">
        <v>-37.5</v>
      </c>
      <c r="F12" s="42">
        <v>0</v>
      </c>
      <c r="G12" s="40">
        <f t="shared" si="0"/>
        <v>643747.17000000004</v>
      </c>
    </row>
    <row r="13" spans="1:7" ht="9.9499999999999993" customHeight="1">
      <c r="A13" s="35">
        <v>329256271327</v>
      </c>
      <c r="B13" s="36" t="s">
        <v>80</v>
      </c>
      <c r="C13" s="28">
        <v>46082</v>
      </c>
      <c r="D13" s="37" t="s">
        <v>71</v>
      </c>
      <c r="E13" s="39">
        <v>-18000</v>
      </c>
      <c r="F13" s="40">
        <v>0</v>
      </c>
      <c r="G13" s="40">
        <f t="shared" si="0"/>
        <v>625747.17000000004</v>
      </c>
    </row>
    <row r="14" spans="1:7" ht="9.9499999999999993" customHeight="1">
      <c r="A14" s="31">
        <v>676256271327</v>
      </c>
      <c r="B14" s="32" t="s">
        <v>78</v>
      </c>
      <c r="C14" s="33">
        <v>46082</v>
      </c>
      <c r="D14" s="34" t="s">
        <v>71</v>
      </c>
      <c r="E14" s="41">
        <v>-45</v>
      </c>
      <c r="F14" s="42">
        <v>0</v>
      </c>
      <c r="G14" s="40">
        <f t="shared" si="0"/>
        <v>625702.17000000004</v>
      </c>
    </row>
    <row r="15" spans="1:7" ht="9.9499999999999993" customHeight="1">
      <c r="A15" s="35">
        <v>50910551155</v>
      </c>
      <c r="B15" s="36" t="s">
        <v>81</v>
      </c>
      <c r="C15" s="28">
        <v>46083</v>
      </c>
      <c r="D15" s="37" t="s">
        <v>73</v>
      </c>
      <c r="E15" s="40">
        <v>0</v>
      </c>
      <c r="F15" s="40">
        <v>13440</v>
      </c>
      <c r="G15" s="40">
        <f t="shared" si="0"/>
        <v>639142.17000000004</v>
      </c>
    </row>
    <row r="16" spans="1:7" ht="9.9499999999999993" customHeight="1">
      <c r="A16" s="31">
        <v>27210551155</v>
      </c>
      <c r="B16" s="32" t="s">
        <v>76</v>
      </c>
      <c r="C16" s="33">
        <v>46083</v>
      </c>
      <c r="D16" s="32" t="s">
        <v>71</v>
      </c>
      <c r="E16" s="42">
        <v>-201.6</v>
      </c>
      <c r="F16" s="42">
        <v>0</v>
      </c>
      <c r="G16" s="40">
        <f t="shared" si="0"/>
        <v>638940.57000000007</v>
      </c>
    </row>
    <row r="17" spans="1:7" ht="9.9499999999999993" customHeight="1">
      <c r="A17" s="35">
        <v>329256321817</v>
      </c>
      <c r="B17" s="36" t="s">
        <v>82</v>
      </c>
      <c r="C17" s="28">
        <v>46083</v>
      </c>
      <c r="D17" s="36" t="s">
        <v>71</v>
      </c>
      <c r="E17" s="40">
        <v>-300000</v>
      </c>
      <c r="F17" s="40">
        <v>0</v>
      </c>
      <c r="G17" s="40">
        <f t="shared" si="0"/>
        <v>338940.57000000007</v>
      </c>
    </row>
    <row r="18" spans="1:7" ht="9.9499999999999993" customHeight="1">
      <c r="A18" s="31">
        <v>676256321817</v>
      </c>
      <c r="B18" s="32" t="s">
        <v>78</v>
      </c>
      <c r="C18" s="33">
        <v>46083</v>
      </c>
      <c r="D18" s="32" t="s">
        <v>71</v>
      </c>
      <c r="E18" s="42">
        <v>-750</v>
      </c>
      <c r="F18" s="42">
        <v>0</v>
      </c>
      <c r="G18" s="40">
        <f t="shared" si="0"/>
        <v>338190.57000000007</v>
      </c>
    </row>
    <row r="19" spans="1:7" ht="9.9499999999999993" customHeight="1">
      <c r="A19" s="35">
        <v>50957523097</v>
      </c>
      <c r="B19" s="36" t="s">
        <v>75</v>
      </c>
      <c r="C19" s="28">
        <v>46083</v>
      </c>
      <c r="D19" s="37" t="s">
        <v>73</v>
      </c>
      <c r="E19" s="40">
        <v>0</v>
      </c>
      <c r="F19" s="40">
        <v>16800</v>
      </c>
      <c r="G19" s="40">
        <f t="shared" si="0"/>
        <v>354990.57000000007</v>
      </c>
    </row>
    <row r="20" spans="1:7" ht="9.9499999999999993" customHeight="1">
      <c r="A20" s="31">
        <v>27257523097</v>
      </c>
      <c r="B20" s="32" t="s">
        <v>76</v>
      </c>
      <c r="C20" s="33">
        <v>46083</v>
      </c>
      <c r="D20" s="32" t="s">
        <v>71</v>
      </c>
      <c r="E20" s="42">
        <v>-252</v>
      </c>
      <c r="F20" s="42">
        <v>0</v>
      </c>
      <c r="G20" s="40">
        <f t="shared" si="0"/>
        <v>354738.57000000007</v>
      </c>
    </row>
    <row r="21" spans="1:7" ht="9.9499999999999993" customHeight="1">
      <c r="A21" s="35">
        <v>50957548927</v>
      </c>
      <c r="B21" s="36" t="s">
        <v>75</v>
      </c>
      <c r="C21" s="28">
        <v>46083</v>
      </c>
      <c r="D21" s="37" t="s">
        <v>73</v>
      </c>
      <c r="E21" s="40">
        <v>0</v>
      </c>
      <c r="F21" s="40">
        <v>25200</v>
      </c>
      <c r="G21" s="40">
        <f t="shared" si="0"/>
        <v>379938.57000000007</v>
      </c>
    </row>
    <row r="22" spans="1:7" ht="9.9499999999999993" customHeight="1">
      <c r="A22" s="31">
        <v>27257548927</v>
      </c>
      <c r="B22" s="32" t="s">
        <v>76</v>
      </c>
      <c r="C22" s="33">
        <v>46083</v>
      </c>
      <c r="D22" s="32" t="s">
        <v>71</v>
      </c>
      <c r="E22" s="42">
        <v>-378</v>
      </c>
      <c r="F22" s="42">
        <v>0</v>
      </c>
      <c r="G22" s="40">
        <f t="shared" si="0"/>
        <v>379560.57000000007</v>
      </c>
    </row>
    <row r="23" spans="1:7" ht="9.9499999999999993" customHeight="1">
      <c r="A23" s="35">
        <v>50993976103</v>
      </c>
      <c r="B23" s="36" t="s">
        <v>83</v>
      </c>
      <c r="C23" s="28">
        <v>46083</v>
      </c>
      <c r="D23" s="37" t="s">
        <v>73</v>
      </c>
      <c r="E23" s="40">
        <v>0</v>
      </c>
      <c r="F23" s="40">
        <v>25199.24</v>
      </c>
      <c r="G23" s="40">
        <f t="shared" si="0"/>
        <v>404759.81000000006</v>
      </c>
    </row>
    <row r="24" spans="1:7" ht="9.9499999999999993" customHeight="1">
      <c r="A24" s="31">
        <v>27293976103</v>
      </c>
      <c r="B24" s="32" t="s">
        <v>76</v>
      </c>
      <c r="C24" s="33">
        <v>46083</v>
      </c>
      <c r="D24" s="32" t="s">
        <v>71</v>
      </c>
      <c r="E24" s="42">
        <v>-377.99</v>
      </c>
      <c r="F24" s="42">
        <v>0</v>
      </c>
      <c r="G24" s="40">
        <f t="shared" si="0"/>
        <v>404381.82000000007</v>
      </c>
    </row>
    <row r="25" spans="1:7" ht="9.9499999999999993" customHeight="1">
      <c r="A25" s="35">
        <v>677238338942</v>
      </c>
      <c r="B25" s="36" t="s">
        <v>72</v>
      </c>
      <c r="C25" s="28">
        <v>46084</v>
      </c>
      <c r="D25" s="37" t="s">
        <v>73</v>
      </c>
      <c r="E25" s="40">
        <v>0</v>
      </c>
      <c r="F25" s="40">
        <v>48938</v>
      </c>
      <c r="G25" s="40">
        <f t="shared" si="0"/>
        <v>453319.82000000007</v>
      </c>
    </row>
    <row r="26" spans="1:7" ht="9.9499999999999993" customHeight="1">
      <c r="A26" s="31">
        <v>210038338942</v>
      </c>
      <c r="B26" s="32" t="s">
        <v>74</v>
      </c>
      <c r="C26" s="33">
        <v>46084</v>
      </c>
      <c r="D26" s="32" t="s">
        <v>71</v>
      </c>
      <c r="E26" s="42">
        <v>-734.07</v>
      </c>
      <c r="F26" s="42">
        <v>0</v>
      </c>
      <c r="G26" s="40">
        <f t="shared" si="0"/>
        <v>452585.75000000006</v>
      </c>
    </row>
    <row r="27" spans="1:7" ht="9.9499999999999993" customHeight="1">
      <c r="A27" s="35">
        <v>329256414875</v>
      </c>
      <c r="B27" s="36" t="s">
        <v>84</v>
      </c>
      <c r="C27" s="28">
        <v>46084</v>
      </c>
      <c r="D27" s="36" t="s">
        <v>71</v>
      </c>
      <c r="E27" s="40">
        <v>-200000</v>
      </c>
      <c r="F27" s="40">
        <v>0</v>
      </c>
      <c r="G27" s="40">
        <f t="shared" si="0"/>
        <v>252585.75000000006</v>
      </c>
    </row>
    <row r="28" spans="1:7" ht="9.9499999999999993" customHeight="1">
      <c r="A28" s="31">
        <v>676256414875</v>
      </c>
      <c r="B28" s="32" t="s">
        <v>78</v>
      </c>
      <c r="C28" s="33">
        <v>46084</v>
      </c>
      <c r="D28" s="32" t="s">
        <v>71</v>
      </c>
      <c r="E28" s="42">
        <v>-500</v>
      </c>
      <c r="F28" s="42">
        <v>0</v>
      </c>
      <c r="G28" s="40">
        <f t="shared" si="0"/>
        <v>252085.75000000006</v>
      </c>
    </row>
    <row r="29" spans="1:7" ht="9.9499999999999993" customHeight="1">
      <c r="A29" s="35">
        <v>677238736592</v>
      </c>
      <c r="B29" s="36" t="s">
        <v>72</v>
      </c>
      <c r="C29" s="28">
        <v>46084</v>
      </c>
      <c r="D29" s="37" t="s">
        <v>73</v>
      </c>
      <c r="E29" s="40">
        <v>0</v>
      </c>
      <c r="F29" s="40">
        <v>29532</v>
      </c>
      <c r="G29" s="40">
        <f t="shared" si="0"/>
        <v>281617.75000000006</v>
      </c>
    </row>
    <row r="30" spans="1:7" ht="9.9499999999999993" customHeight="1">
      <c r="A30" s="31">
        <v>210038736592</v>
      </c>
      <c r="B30" s="32" t="s">
        <v>74</v>
      </c>
      <c r="C30" s="33">
        <v>46084</v>
      </c>
      <c r="D30" s="32" t="s">
        <v>71</v>
      </c>
      <c r="E30" s="42">
        <v>-442.98</v>
      </c>
      <c r="F30" s="42">
        <v>0</v>
      </c>
      <c r="G30" s="40">
        <f t="shared" si="0"/>
        <v>281174.77000000008</v>
      </c>
    </row>
    <row r="31" spans="1:7" ht="9.9499999999999993" customHeight="1">
      <c r="A31" s="35">
        <v>677238861565</v>
      </c>
      <c r="B31" s="36" t="s">
        <v>85</v>
      </c>
      <c r="C31" s="28">
        <v>46084</v>
      </c>
      <c r="D31" s="37" t="s">
        <v>73</v>
      </c>
      <c r="E31" s="40">
        <v>0</v>
      </c>
      <c r="F31" s="40">
        <v>84375.44</v>
      </c>
      <c r="G31" s="40">
        <f t="shared" si="0"/>
        <v>365550.21000000008</v>
      </c>
    </row>
    <row r="32" spans="1:7" ht="9.9499999999999993" customHeight="1">
      <c r="A32" s="31">
        <v>210038861565</v>
      </c>
      <c r="B32" s="32" t="s">
        <v>74</v>
      </c>
      <c r="C32" s="33">
        <v>46084</v>
      </c>
      <c r="D32" s="32" t="s">
        <v>71</v>
      </c>
      <c r="E32" s="42">
        <v>-1265.6300000000001</v>
      </c>
      <c r="F32" s="42">
        <v>0</v>
      </c>
      <c r="G32" s="40">
        <f t="shared" si="0"/>
        <v>364284.58000000007</v>
      </c>
    </row>
    <row r="33" spans="1:7" ht="9.9499999999999993" customHeight="1">
      <c r="A33" s="35">
        <v>50957906511</v>
      </c>
      <c r="B33" s="36" t="s">
        <v>75</v>
      </c>
      <c r="C33" s="28">
        <v>46084</v>
      </c>
      <c r="D33" s="37" t="s">
        <v>73</v>
      </c>
      <c r="E33" s="40">
        <v>0</v>
      </c>
      <c r="F33" s="40">
        <v>8400</v>
      </c>
      <c r="G33" s="40">
        <f t="shared" si="0"/>
        <v>372684.58000000007</v>
      </c>
    </row>
    <row r="34" spans="1:7" ht="9.9499999999999993" customHeight="1">
      <c r="A34" s="31">
        <v>27257906511</v>
      </c>
      <c r="B34" s="32" t="s">
        <v>76</v>
      </c>
      <c r="C34" s="33">
        <v>46084</v>
      </c>
      <c r="D34" s="32" t="s">
        <v>71</v>
      </c>
      <c r="E34" s="42">
        <v>-126</v>
      </c>
      <c r="F34" s="42">
        <v>0</v>
      </c>
      <c r="G34" s="40">
        <f t="shared" si="0"/>
        <v>372558.58000000007</v>
      </c>
    </row>
    <row r="35" spans="1:7" ht="9.9499999999999993" customHeight="1">
      <c r="A35" s="35">
        <v>50994868370</v>
      </c>
      <c r="B35" s="36" t="s">
        <v>83</v>
      </c>
      <c r="C35" s="28">
        <v>46084</v>
      </c>
      <c r="D35" s="37" t="s">
        <v>73</v>
      </c>
      <c r="E35" s="40">
        <v>0</v>
      </c>
      <c r="F35" s="40">
        <v>29531.4</v>
      </c>
      <c r="G35" s="40">
        <f t="shared" si="0"/>
        <v>402089.9800000001</v>
      </c>
    </row>
    <row r="36" spans="1:7" ht="9.9499999999999993" customHeight="1">
      <c r="A36" s="31">
        <v>27294868370</v>
      </c>
      <c r="B36" s="32" t="s">
        <v>76</v>
      </c>
      <c r="C36" s="33">
        <v>46084</v>
      </c>
      <c r="D36" s="32" t="s">
        <v>71</v>
      </c>
      <c r="E36" s="42">
        <v>-442.97</v>
      </c>
      <c r="F36" s="42">
        <v>0</v>
      </c>
      <c r="G36" s="40">
        <f t="shared" si="0"/>
        <v>401647.01000000013</v>
      </c>
    </row>
    <row r="37" spans="1:7" ht="9.9499999999999993" customHeight="1">
      <c r="A37" s="35">
        <v>50990009590</v>
      </c>
      <c r="B37" s="36" t="s">
        <v>86</v>
      </c>
      <c r="C37" s="28">
        <v>46085</v>
      </c>
      <c r="D37" s="37" t="s">
        <v>73</v>
      </c>
      <c r="E37" s="40">
        <v>0</v>
      </c>
      <c r="F37" s="40">
        <v>24012.28</v>
      </c>
      <c r="G37" s="40">
        <f t="shared" si="0"/>
        <v>425659.29000000015</v>
      </c>
    </row>
    <row r="38" spans="1:7" ht="9.9499999999999993" customHeight="1">
      <c r="A38" s="31">
        <v>27290009590</v>
      </c>
      <c r="B38" s="32" t="s">
        <v>76</v>
      </c>
      <c r="C38" s="33">
        <v>46085</v>
      </c>
      <c r="D38" s="32" t="s">
        <v>71</v>
      </c>
      <c r="E38" s="42">
        <v>-360.18</v>
      </c>
      <c r="F38" s="42">
        <v>0</v>
      </c>
      <c r="G38" s="40">
        <f t="shared" si="0"/>
        <v>425299.11000000016</v>
      </c>
    </row>
    <row r="39" spans="1:7" ht="9.9499999999999993" customHeight="1">
      <c r="A39" s="35">
        <v>329256655608</v>
      </c>
      <c r="B39" s="36" t="s">
        <v>87</v>
      </c>
      <c r="C39" s="28">
        <v>46085</v>
      </c>
      <c r="D39" s="36" t="s">
        <v>71</v>
      </c>
      <c r="E39" s="40">
        <v>-40000</v>
      </c>
      <c r="F39" s="40">
        <v>0</v>
      </c>
      <c r="G39" s="40">
        <f t="shared" si="0"/>
        <v>385299.11000000016</v>
      </c>
    </row>
    <row r="40" spans="1:7" ht="9.9499999999999993" customHeight="1">
      <c r="A40" s="31">
        <v>676256655608</v>
      </c>
      <c r="B40" s="32" t="s">
        <v>78</v>
      </c>
      <c r="C40" s="33">
        <v>46085</v>
      </c>
      <c r="D40" s="32" t="s">
        <v>71</v>
      </c>
      <c r="E40" s="42">
        <v>-100</v>
      </c>
      <c r="F40" s="42">
        <v>0</v>
      </c>
      <c r="G40" s="40">
        <f t="shared" si="0"/>
        <v>385199.11000000016</v>
      </c>
    </row>
    <row r="41" spans="1:7" ht="9.9499999999999993" customHeight="1">
      <c r="A41" s="35">
        <v>50936646634</v>
      </c>
      <c r="B41" s="36" t="s">
        <v>81</v>
      </c>
      <c r="C41" s="28">
        <v>46085</v>
      </c>
      <c r="D41" s="37" t="s">
        <v>73</v>
      </c>
      <c r="E41" s="40">
        <v>0</v>
      </c>
      <c r="F41" s="40">
        <v>21283.5</v>
      </c>
      <c r="G41" s="40">
        <f t="shared" si="0"/>
        <v>406482.61000000016</v>
      </c>
    </row>
    <row r="42" spans="1:7" ht="9.9499999999999993" customHeight="1">
      <c r="A42" s="31">
        <v>27236646634</v>
      </c>
      <c r="B42" s="32" t="s">
        <v>76</v>
      </c>
      <c r="C42" s="33">
        <v>46085</v>
      </c>
      <c r="D42" s="32" t="s">
        <v>71</v>
      </c>
      <c r="E42" s="42">
        <v>-319.25</v>
      </c>
      <c r="F42" s="42">
        <v>0</v>
      </c>
      <c r="G42" s="40">
        <f t="shared" si="0"/>
        <v>406163.36000000016</v>
      </c>
    </row>
    <row r="43" spans="1:7" ht="9.9499999999999993" customHeight="1">
      <c r="A43" s="35">
        <v>50958092263</v>
      </c>
      <c r="B43" s="36" t="s">
        <v>75</v>
      </c>
      <c r="C43" s="28">
        <v>46085</v>
      </c>
      <c r="D43" s="37" t="s">
        <v>73</v>
      </c>
      <c r="E43" s="40">
        <v>0</v>
      </c>
      <c r="F43" s="40">
        <v>12770</v>
      </c>
      <c r="G43" s="40">
        <f t="shared" si="0"/>
        <v>418933.36000000016</v>
      </c>
    </row>
    <row r="44" spans="1:7" ht="9.9499999999999993" customHeight="1">
      <c r="A44" s="31">
        <v>27258092263</v>
      </c>
      <c r="B44" s="32" t="s">
        <v>76</v>
      </c>
      <c r="C44" s="33">
        <v>46085</v>
      </c>
      <c r="D44" s="32" t="s">
        <v>71</v>
      </c>
      <c r="E44" s="42">
        <v>-191.55</v>
      </c>
      <c r="F44" s="42">
        <v>0</v>
      </c>
      <c r="G44" s="40">
        <f t="shared" si="0"/>
        <v>418741.81000000017</v>
      </c>
    </row>
    <row r="45" spans="1:7" ht="9.9499999999999993" customHeight="1">
      <c r="A45" s="35">
        <v>329256704772</v>
      </c>
      <c r="B45" s="36" t="s">
        <v>88</v>
      </c>
      <c r="C45" s="28">
        <v>46085</v>
      </c>
      <c r="D45" s="36" t="s">
        <v>71</v>
      </c>
      <c r="E45" s="40">
        <v>-50000</v>
      </c>
      <c r="F45" s="40">
        <v>0</v>
      </c>
      <c r="G45" s="40">
        <f t="shared" si="0"/>
        <v>368741.81000000017</v>
      </c>
    </row>
    <row r="46" spans="1:7" ht="9.9499999999999993" customHeight="1">
      <c r="A46" s="31">
        <v>676256704772</v>
      </c>
      <c r="B46" s="32" t="s">
        <v>78</v>
      </c>
      <c r="C46" s="33">
        <v>46085</v>
      </c>
      <c r="D46" s="32" t="s">
        <v>71</v>
      </c>
      <c r="E46" s="42">
        <v>-125</v>
      </c>
      <c r="F46" s="42">
        <v>0</v>
      </c>
      <c r="G46" s="40">
        <f t="shared" si="0"/>
        <v>368616.81000000017</v>
      </c>
    </row>
    <row r="47" spans="1:7" ht="9.9499999999999993" customHeight="1">
      <c r="A47" s="35">
        <v>50995769684</v>
      </c>
      <c r="B47" s="36" t="s">
        <v>83</v>
      </c>
      <c r="C47" s="28">
        <v>46085</v>
      </c>
      <c r="D47" s="37" t="s">
        <v>73</v>
      </c>
      <c r="E47" s="40">
        <v>0</v>
      </c>
      <c r="F47" s="40">
        <v>21283.71</v>
      </c>
      <c r="G47" s="40">
        <f t="shared" si="0"/>
        <v>389900.52000000019</v>
      </c>
    </row>
    <row r="48" spans="1:7" ht="9.9499999999999993" customHeight="1">
      <c r="A48" s="31">
        <v>27295769684</v>
      </c>
      <c r="B48" s="32" t="s">
        <v>76</v>
      </c>
      <c r="C48" s="33">
        <v>46085</v>
      </c>
      <c r="D48" s="32" t="s">
        <v>71</v>
      </c>
      <c r="E48" s="42">
        <v>-319.26</v>
      </c>
      <c r="F48" s="42">
        <v>0</v>
      </c>
      <c r="G48" s="40">
        <f t="shared" si="0"/>
        <v>389581.26000000018</v>
      </c>
    </row>
    <row r="49" spans="1:7" ht="9.9499999999999993" customHeight="1">
      <c r="A49" s="35">
        <v>329256845194</v>
      </c>
      <c r="B49" s="36" t="s">
        <v>89</v>
      </c>
      <c r="C49" s="28">
        <v>46086</v>
      </c>
      <c r="D49" s="36" t="s">
        <v>71</v>
      </c>
      <c r="E49" s="40">
        <v>-300000</v>
      </c>
      <c r="F49" s="40">
        <v>0</v>
      </c>
      <c r="G49" s="40">
        <f t="shared" si="0"/>
        <v>89581.260000000184</v>
      </c>
    </row>
    <row r="50" spans="1:7" ht="9.9499999999999993" customHeight="1">
      <c r="A50" s="31">
        <v>676256845194</v>
      </c>
      <c r="B50" s="32" t="s">
        <v>78</v>
      </c>
      <c r="C50" s="33">
        <v>46086</v>
      </c>
      <c r="D50" s="32" t="s">
        <v>71</v>
      </c>
      <c r="E50" s="42">
        <v>-750</v>
      </c>
      <c r="F50" s="42">
        <v>0</v>
      </c>
      <c r="G50" s="40">
        <f t="shared" si="0"/>
        <v>88831.260000000184</v>
      </c>
    </row>
    <row r="51" spans="1:7" ht="9.9499999999999993" customHeight="1">
      <c r="A51" s="35">
        <v>50958469124</v>
      </c>
      <c r="B51" s="36" t="s">
        <v>75</v>
      </c>
      <c r="C51" s="28">
        <v>46086</v>
      </c>
      <c r="D51" s="37" t="s">
        <v>73</v>
      </c>
      <c r="E51" s="40">
        <v>0</v>
      </c>
      <c r="F51" s="40">
        <v>4500</v>
      </c>
      <c r="G51" s="40">
        <f t="shared" si="0"/>
        <v>93331.260000000184</v>
      </c>
    </row>
    <row r="52" spans="1:7" ht="9.9499999999999993" customHeight="1">
      <c r="A52" s="31">
        <v>27258469124</v>
      </c>
      <c r="B52" s="32" t="s">
        <v>76</v>
      </c>
      <c r="C52" s="33">
        <v>46086</v>
      </c>
      <c r="D52" s="32" t="s">
        <v>71</v>
      </c>
      <c r="E52" s="42">
        <v>-67.5</v>
      </c>
      <c r="F52" s="42">
        <v>0</v>
      </c>
      <c r="G52" s="40">
        <f t="shared" si="0"/>
        <v>93263.760000000184</v>
      </c>
    </row>
    <row r="53" spans="1:7" ht="9.9499999999999993" customHeight="1">
      <c r="A53" s="35">
        <v>50941141358</v>
      </c>
      <c r="B53" s="36" t="s">
        <v>81</v>
      </c>
      <c r="C53" s="28">
        <v>46086</v>
      </c>
      <c r="D53" s="37" t="s">
        <v>73</v>
      </c>
      <c r="E53" s="40">
        <v>0</v>
      </c>
      <c r="F53" s="40">
        <v>8559</v>
      </c>
      <c r="G53" s="40">
        <f t="shared" si="0"/>
        <v>101822.76000000018</v>
      </c>
    </row>
    <row r="54" spans="1:7" ht="9.9499999999999993" customHeight="1">
      <c r="A54" s="31">
        <v>27241141358</v>
      </c>
      <c r="B54" s="32" t="s">
        <v>76</v>
      </c>
      <c r="C54" s="33">
        <v>46086</v>
      </c>
      <c r="D54" s="32" t="s">
        <v>71</v>
      </c>
      <c r="E54" s="42">
        <v>-128.38999999999999</v>
      </c>
      <c r="F54" s="42">
        <v>0</v>
      </c>
      <c r="G54" s="40">
        <f t="shared" si="0"/>
        <v>101694.37000000018</v>
      </c>
    </row>
    <row r="55" spans="1:7" ht="9.9499999999999993" customHeight="1">
      <c r="A55" s="35">
        <v>50941145983</v>
      </c>
      <c r="B55" s="36" t="s">
        <v>81</v>
      </c>
      <c r="C55" s="28">
        <v>46086</v>
      </c>
      <c r="D55" s="37" t="s">
        <v>73</v>
      </c>
      <c r="E55" s="40">
        <v>0</v>
      </c>
      <c r="F55" s="40">
        <v>9415</v>
      </c>
      <c r="G55" s="40">
        <f t="shared" si="0"/>
        <v>111109.37000000018</v>
      </c>
    </row>
    <row r="56" spans="1:7" ht="9.9499999999999993" customHeight="1">
      <c r="A56" s="31">
        <v>27241145983</v>
      </c>
      <c r="B56" s="32" t="s">
        <v>76</v>
      </c>
      <c r="C56" s="33">
        <v>46086</v>
      </c>
      <c r="D56" s="32" t="s">
        <v>71</v>
      </c>
      <c r="E56" s="42">
        <v>-141.22999999999999</v>
      </c>
      <c r="F56" s="42">
        <v>0</v>
      </c>
      <c r="G56" s="40">
        <f t="shared" si="0"/>
        <v>110968.14000000019</v>
      </c>
    </row>
    <row r="57" spans="1:7" ht="9.9499999999999993" customHeight="1">
      <c r="A57" s="35">
        <v>50958516418</v>
      </c>
      <c r="B57" s="36" t="s">
        <v>75</v>
      </c>
      <c r="C57" s="28">
        <v>46086</v>
      </c>
      <c r="D57" s="37" t="s">
        <v>73</v>
      </c>
      <c r="E57" s="40">
        <v>0</v>
      </c>
      <c r="F57" s="40">
        <v>21400</v>
      </c>
      <c r="G57" s="40">
        <f t="shared" si="0"/>
        <v>132368.14000000019</v>
      </c>
    </row>
    <row r="58" spans="1:7" ht="9.9499999999999993" customHeight="1">
      <c r="A58" s="31">
        <v>27258516418</v>
      </c>
      <c r="B58" s="32" t="s">
        <v>76</v>
      </c>
      <c r="C58" s="33">
        <v>46086</v>
      </c>
      <c r="D58" s="32" t="s">
        <v>71</v>
      </c>
      <c r="E58" s="42">
        <v>-321</v>
      </c>
      <c r="F58" s="42">
        <v>0</v>
      </c>
      <c r="G58" s="40">
        <f t="shared" si="0"/>
        <v>132047.14000000019</v>
      </c>
    </row>
    <row r="59" spans="1:7" ht="9.9499999999999993" customHeight="1">
      <c r="A59" s="35">
        <v>50996686476</v>
      </c>
      <c r="B59" s="36" t="s">
        <v>83</v>
      </c>
      <c r="C59" s="28">
        <v>46086</v>
      </c>
      <c r="D59" s="37" t="s">
        <v>73</v>
      </c>
      <c r="E59" s="40">
        <v>0</v>
      </c>
      <c r="F59" s="40">
        <v>21396.51</v>
      </c>
      <c r="G59" s="40">
        <f t="shared" si="0"/>
        <v>153443.6500000002</v>
      </c>
    </row>
    <row r="60" spans="1:7" ht="9.9499999999999993" customHeight="1">
      <c r="A60" s="31">
        <v>27296686476</v>
      </c>
      <c r="B60" s="32" t="s">
        <v>76</v>
      </c>
      <c r="C60" s="33">
        <v>46086</v>
      </c>
      <c r="D60" s="32" t="s">
        <v>71</v>
      </c>
      <c r="E60" s="42">
        <v>-320.95</v>
      </c>
      <c r="F60" s="42">
        <v>0</v>
      </c>
      <c r="G60" s="40">
        <f t="shared" si="0"/>
        <v>153122.70000000019</v>
      </c>
    </row>
    <row r="61" spans="1:7" ht="9.9499999999999993" customHeight="1">
      <c r="A61" s="35">
        <v>329256904576</v>
      </c>
      <c r="B61" s="36" t="s">
        <v>90</v>
      </c>
      <c r="C61" s="28">
        <v>46087</v>
      </c>
      <c r="D61" s="36" t="s">
        <v>71</v>
      </c>
      <c r="E61" s="40">
        <v>-20000</v>
      </c>
      <c r="F61" s="40">
        <v>0</v>
      </c>
      <c r="G61" s="40">
        <f t="shared" si="0"/>
        <v>133122.70000000019</v>
      </c>
    </row>
    <row r="62" spans="1:7" ht="9.9499999999999993" customHeight="1">
      <c r="A62" s="31">
        <v>676256904576</v>
      </c>
      <c r="B62" s="32" t="s">
        <v>78</v>
      </c>
      <c r="C62" s="33">
        <v>46087</v>
      </c>
      <c r="D62" s="32" t="s">
        <v>71</v>
      </c>
      <c r="E62" s="42">
        <v>-50</v>
      </c>
      <c r="F62" s="42">
        <v>0</v>
      </c>
      <c r="G62" s="40">
        <f t="shared" si="0"/>
        <v>133072.70000000019</v>
      </c>
    </row>
    <row r="63" spans="1:7" ht="9.9499999999999993" customHeight="1">
      <c r="A63" s="35">
        <v>50953678769</v>
      </c>
      <c r="B63" s="36" t="s">
        <v>81</v>
      </c>
      <c r="C63" s="28">
        <v>46087</v>
      </c>
      <c r="D63" s="37" t="s">
        <v>73</v>
      </c>
      <c r="E63" s="40">
        <v>0</v>
      </c>
      <c r="F63" s="40">
        <v>21550</v>
      </c>
      <c r="G63" s="40">
        <f t="shared" si="0"/>
        <v>154622.70000000019</v>
      </c>
    </row>
    <row r="64" spans="1:7" ht="9.9499999999999993" customHeight="1">
      <c r="A64" s="31">
        <v>27253678769</v>
      </c>
      <c r="B64" s="32" t="s">
        <v>76</v>
      </c>
      <c r="C64" s="33">
        <v>46087</v>
      </c>
      <c r="D64" s="32" t="s">
        <v>71</v>
      </c>
      <c r="E64" s="42">
        <v>-323.25</v>
      </c>
      <c r="F64" s="42">
        <v>0</v>
      </c>
      <c r="G64" s="40">
        <f t="shared" si="0"/>
        <v>154299.45000000019</v>
      </c>
    </row>
    <row r="65" spans="1:7" ht="9.9499999999999993" customHeight="1">
      <c r="A65" s="35">
        <v>677244183588</v>
      </c>
      <c r="B65" s="36" t="s">
        <v>85</v>
      </c>
      <c r="C65" s="28">
        <v>46087</v>
      </c>
      <c r="D65" s="37" t="s">
        <v>73</v>
      </c>
      <c r="E65" s="40">
        <v>0</v>
      </c>
      <c r="F65" s="40">
        <v>43101.13</v>
      </c>
      <c r="G65" s="40">
        <f t="shared" si="0"/>
        <v>197400.58000000019</v>
      </c>
    </row>
    <row r="66" spans="1:7" ht="9.9499999999999993" customHeight="1">
      <c r="A66" s="31">
        <v>210044183588</v>
      </c>
      <c r="B66" s="32" t="s">
        <v>74</v>
      </c>
      <c r="C66" s="33">
        <v>46087</v>
      </c>
      <c r="D66" s="32" t="s">
        <v>71</v>
      </c>
      <c r="E66" s="42">
        <v>-646.52</v>
      </c>
      <c r="F66" s="42">
        <v>0</v>
      </c>
      <c r="G66" s="40">
        <f t="shared" si="0"/>
        <v>196754.0600000002</v>
      </c>
    </row>
    <row r="67" spans="1:7" ht="9.9499999999999993" customHeight="1">
      <c r="A67" s="35">
        <v>50958738746</v>
      </c>
      <c r="B67" s="36" t="s">
        <v>75</v>
      </c>
      <c r="C67" s="28">
        <v>46087</v>
      </c>
      <c r="D67" s="37" t="s">
        <v>73</v>
      </c>
      <c r="E67" s="40">
        <v>0</v>
      </c>
      <c r="F67" s="40">
        <v>30171</v>
      </c>
      <c r="G67" s="40">
        <f t="shared" si="0"/>
        <v>226925.0600000002</v>
      </c>
    </row>
    <row r="68" spans="1:7" ht="9.9499999999999993" customHeight="1">
      <c r="A68" s="31">
        <v>27258738746</v>
      </c>
      <c r="B68" s="32" t="s">
        <v>76</v>
      </c>
      <c r="C68" s="33">
        <v>46087</v>
      </c>
      <c r="D68" s="32" t="s">
        <v>71</v>
      </c>
      <c r="E68" s="42">
        <v>-452.57</v>
      </c>
      <c r="F68" s="42">
        <v>0</v>
      </c>
      <c r="G68" s="40">
        <f t="shared" si="0"/>
        <v>226472.49000000019</v>
      </c>
    </row>
    <row r="69" spans="1:7" ht="9.9499999999999993" customHeight="1">
      <c r="A69" s="35">
        <v>50994159294</v>
      </c>
      <c r="B69" s="36" t="s">
        <v>86</v>
      </c>
      <c r="C69" s="28">
        <v>46087</v>
      </c>
      <c r="D69" s="37" t="s">
        <v>73</v>
      </c>
      <c r="E69" s="40">
        <v>0</v>
      </c>
      <c r="F69" s="40">
        <v>12930.34</v>
      </c>
      <c r="G69" s="40">
        <f t="shared" ref="G69:G132" si="1">G68+E69+F69</f>
        <v>239402.83000000019</v>
      </c>
    </row>
    <row r="70" spans="1:7" ht="9.9499999999999993" customHeight="1">
      <c r="A70" s="31">
        <v>27294159294</v>
      </c>
      <c r="B70" s="32" t="s">
        <v>76</v>
      </c>
      <c r="C70" s="33">
        <v>46087</v>
      </c>
      <c r="D70" s="32" t="s">
        <v>71</v>
      </c>
      <c r="E70" s="42">
        <v>-193.96</v>
      </c>
      <c r="F70" s="42">
        <v>0</v>
      </c>
      <c r="G70" s="40">
        <f t="shared" si="1"/>
        <v>239208.8700000002</v>
      </c>
    </row>
    <row r="71" spans="1:7" ht="9.9499999999999993" customHeight="1">
      <c r="A71" s="35">
        <v>50997735011</v>
      </c>
      <c r="B71" s="36" t="s">
        <v>83</v>
      </c>
      <c r="C71" s="28">
        <v>46087</v>
      </c>
      <c r="D71" s="37" t="s">
        <v>73</v>
      </c>
      <c r="E71" s="40">
        <v>0</v>
      </c>
      <c r="F71" s="40">
        <v>21550.57</v>
      </c>
      <c r="G71" s="40">
        <f t="shared" si="1"/>
        <v>260759.44000000021</v>
      </c>
    </row>
    <row r="72" spans="1:7" ht="9.9499999999999993" customHeight="1">
      <c r="A72" s="31">
        <v>27297735011</v>
      </c>
      <c r="B72" s="32" t="s">
        <v>76</v>
      </c>
      <c r="C72" s="33">
        <v>46087</v>
      </c>
      <c r="D72" s="32" t="s">
        <v>71</v>
      </c>
      <c r="E72" s="42">
        <v>-323.26</v>
      </c>
      <c r="F72" s="42">
        <v>0</v>
      </c>
      <c r="G72" s="40">
        <f t="shared" si="1"/>
        <v>260436.1800000002</v>
      </c>
    </row>
    <row r="73" spans="1:7" ht="9.9499999999999993" customHeight="1">
      <c r="A73" s="35">
        <v>329257197349</v>
      </c>
      <c r="B73" s="36" t="s">
        <v>91</v>
      </c>
      <c r="C73" s="28">
        <v>46088</v>
      </c>
      <c r="D73" s="36" t="s">
        <v>71</v>
      </c>
      <c r="E73" s="40">
        <v>-30000</v>
      </c>
      <c r="F73" s="40">
        <v>0</v>
      </c>
      <c r="G73" s="40">
        <f t="shared" si="1"/>
        <v>230436.1800000002</v>
      </c>
    </row>
    <row r="74" spans="1:7" ht="9.9499999999999993" customHeight="1">
      <c r="A74" s="31">
        <v>676257197349</v>
      </c>
      <c r="B74" s="32" t="s">
        <v>78</v>
      </c>
      <c r="C74" s="33">
        <v>46088</v>
      </c>
      <c r="D74" s="32" t="s">
        <v>71</v>
      </c>
      <c r="E74" s="42">
        <v>-75</v>
      </c>
      <c r="F74" s="42">
        <v>0</v>
      </c>
      <c r="G74" s="40">
        <f t="shared" si="1"/>
        <v>230361.1800000002</v>
      </c>
    </row>
    <row r="75" spans="1:7" ht="9.9499999999999993" customHeight="1">
      <c r="A75" s="35">
        <v>50998823283</v>
      </c>
      <c r="B75" s="36" t="s">
        <v>83</v>
      </c>
      <c r="C75" s="28">
        <v>46088</v>
      </c>
      <c r="D75" s="37" t="s">
        <v>73</v>
      </c>
      <c r="E75" s="40">
        <v>0</v>
      </c>
      <c r="F75" s="40">
        <v>21658.32</v>
      </c>
      <c r="G75" s="40">
        <f t="shared" si="1"/>
        <v>252019.5000000002</v>
      </c>
    </row>
    <row r="76" spans="1:7" ht="9.9499999999999993" customHeight="1">
      <c r="A76" s="31">
        <v>27298823283</v>
      </c>
      <c r="B76" s="32" t="s">
        <v>76</v>
      </c>
      <c r="C76" s="33">
        <v>46088</v>
      </c>
      <c r="D76" s="32" t="s">
        <v>71</v>
      </c>
      <c r="E76" s="42">
        <v>-324.87</v>
      </c>
      <c r="F76" s="42">
        <v>0</v>
      </c>
      <c r="G76" s="40">
        <f t="shared" si="1"/>
        <v>251694.63000000021</v>
      </c>
    </row>
    <row r="77" spans="1:7" ht="9.9499999999999993" customHeight="1">
      <c r="A77" s="35">
        <v>50969125783</v>
      </c>
      <c r="B77" s="36" t="s">
        <v>81</v>
      </c>
      <c r="C77" s="28">
        <v>46088</v>
      </c>
      <c r="D77" s="37" t="s">
        <v>73</v>
      </c>
      <c r="E77" s="40">
        <v>0</v>
      </c>
      <c r="F77" s="40">
        <v>21658.5</v>
      </c>
      <c r="G77" s="40">
        <f t="shared" si="1"/>
        <v>273353.13000000024</v>
      </c>
    </row>
    <row r="78" spans="1:7" ht="9.9499999999999993" customHeight="1">
      <c r="A78" s="31">
        <v>27269125783</v>
      </c>
      <c r="B78" s="32" t="s">
        <v>76</v>
      </c>
      <c r="C78" s="33">
        <v>46088</v>
      </c>
      <c r="D78" s="32" t="s">
        <v>71</v>
      </c>
      <c r="E78" s="42">
        <v>-324.88</v>
      </c>
      <c r="F78" s="42">
        <v>0</v>
      </c>
      <c r="G78" s="40">
        <f t="shared" si="1"/>
        <v>273028.25000000023</v>
      </c>
    </row>
    <row r="79" spans="1:7" ht="9.9499999999999993" customHeight="1">
      <c r="A79" s="35">
        <v>677248587954</v>
      </c>
      <c r="B79" s="36" t="s">
        <v>85</v>
      </c>
      <c r="C79" s="28">
        <v>46089</v>
      </c>
      <c r="D79" s="37" t="s">
        <v>73</v>
      </c>
      <c r="E79" s="40">
        <v>0</v>
      </c>
      <c r="F79" s="40">
        <v>43316.639999999999</v>
      </c>
      <c r="G79" s="40">
        <f t="shared" si="1"/>
        <v>316344.89000000025</v>
      </c>
    </row>
    <row r="80" spans="1:7" ht="9.9499999999999993" customHeight="1">
      <c r="A80" s="31">
        <v>210048587954</v>
      </c>
      <c r="B80" s="32" t="s">
        <v>74</v>
      </c>
      <c r="C80" s="33">
        <v>46089</v>
      </c>
      <c r="D80" s="32" t="s">
        <v>71</v>
      </c>
      <c r="E80" s="42">
        <v>-649.75</v>
      </c>
      <c r="F80" s="42">
        <v>0</v>
      </c>
      <c r="G80" s="40">
        <f t="shared" si="1"/>
        <v>315695.14000000025</v>
      </c>
    </row>
    <row r="81" spans="1:7" ht="9.9499999999999993" customHeight="1">
      <c r="A81" s="35">
        <v>50938130338</v>
      </c>
      <c r="B81" s="36" t="s">
        <v>86</v>
      </c>
      <c r="C81" s="28">
        <v>46089</v>
      </c>
      <c r="D81" s="37" t="s">
        <v>73</v>
      </c>
      <c r="E81" s="40">
        <v>0</v>
      </c>
      <c r="F81" s="40">
        <v>23555</v>
      </c>
      <c r="G81" s="40">
        <f t="shared" si="1"/>
        <v>339250.14000000025</v>
      </c>
    </row>
    <row r="82" spans="1:7" ht="9.9499999999999993" customHeight="1">
      <c r="A82" s="31">
        <v>27238130338</v>
      </c>
      <c r="B82" s="32" t="s">
        <v>76</v>
      </c>
      <c r="C82" s="33">
        <v>46089</v>
      </c>
      <c r="D82" s="32" t="s">
        <v>71</v>
      </c>
      <c r="E82" s="42">
        <v>-353.33</v>
      </c>
      <c r="F82" s="42">
        <v>0</v>
      </c>
      <c r="G82" s="40">
        <f t="shared" si="1"/>
        <v>338896.81000000023</v>
      </c>
    </row>
    <row r="83" spans="1:7" ht="9.9499999999999993" customHeight="1">
      <c r="A83" s="35">
        <v>50971270349</v>
      </c>
      <c r="B83" s="36" t="s">
        <v>81</v>
      </c>
      <c r="C83" s="28">
        <v>46089</v>
      </c>
      <c r="D83" s="37" t="s">
        <v>73</v>
      </c>
      <c r="E83" s="40">
        <v>0</v>
      </c>
      <c r="F83" s="40">
        <v>26000</v>
      </c>
      <c r="G83" s="40">
        <f t="shared" si="1"/>
        <v>364896.81000000023</v>
      </c>
    </row>
    <row r="84" spans="1:7" ht="9.9499999999999993" customHeight="1">
      <c r="A84" s="31">
        <v>27271270349</v>
      </c>
      <c r="B84" s="32" t="s">
        <v>76</v>
      </c>
      <c r="C84" s="33">
        <v>46089</v>
      </c>
      <c r="D84" s="32" t="s">
        <v>71</v>
      </c>
      <c r="E84" s="42">
        <v>-390</v>
      </c>
      <c r="F84" s="42">
        <v>0</v>
      </c>
      <c r="G84" s="40">
        <f t="shared" si="1"/>
        <v>364506.81000000023</v>
      </c>
    </row>
    <row r="85" spans="1:7" ht="9.9499999999999993" customHeight="1">
      <c r="A85" s="35">
        <v>50999589810</v>
      </c>
      <c r="B85" s="36" t="s">
        <v>83</v>
      </c>
      <c r="C85" s="28">
        <v>46089</v>
      </c>
      <c r="D85" s="37" t="s">
        <v>73</v>
      </c>
      <c r="E85" s="40">
        <v>0</v>
      </c>
      <c r="F85" s="40">
        <v>21658.32</v>
      </c>
      <c r="G85" s="40">
        <f t="shared" si="1"/>
        <v>386165.13000000024</v>
      </c>
    </row>
    <row r="86" spans="1:7" ht="9.9499999999999993" customHeight="1">
      <c r="A86" s="31">
        <v>27299589810</v>
      </c>
      <c r="B86" s="32" t="s">
        <v>76</v>
      </c>
      <c r="C86" s="33">
        <v>46089</v>
      </c>
      <c r="D86" s="32" t="s">
        <v>71</v>
      </c>
      <c r="E86" s="42">
        <v>-324.87</v>
      </c>
      <c r="F86" s="42">
        <v>0</v>
      </c>
      <c r="G86" s="40">
        <f t="shared" si="1"/>
        <v>385840.26000000024</v>
      </c>
    </row>
    <row r="87" spans="1:7" ht="9.9499999999999993" customHeight="1">
      <c r="A87" s="35">
        <v>677249409553</v>
      </c>
      <c r="B87" s="36" t="s">
        <v>72</v>
      </c>
      <c r="C87" s="28">
        <v>46090</v>
      </c>
      <c r="D87" s="37" t="s">
        <v>73</v>
      </c>
      <c r="E87" s="40">
        <v>0</v>
      </c>
      <c r="F87" s="40">
        <v>12931</v>
      </c>
      <c r="G87" s="40">
        <f t="shared" si="1"/>
        <v>398771.26000000024</v>
      </c>
    </row>
    <row r="88" spans="1:7" ht="9.9499999999999993" customHeight="1">
      <c r="A88" s="31">
        <v>210049409553</v>
      </c>
      <c r="B88" s="32" t="s">
        <v>74</v>
      </c>
      <c r="C88" s="33">
        <v>46090</v>
      </c>
      <c r="D88" s="32" t="s">
        <v>71</v>
      </c>
      <c r="E88" s="42">
        <v>-193.97</v>
      </c>
      <c r="F88" s="42">
        <v>0</v>
      </c>
      <c r="G88" s="40">
        <f t="shared" si="1"/>
        <v>398577.29000000027</v>
      </c>
    </row>
    <row r="89" spans="1:7" ht="9.9499999999999993" customHeight="1">
      <c r="A89" s="35">
        <v>329257283506</v>
      </c>
      <c r="B89" s="36" t="s">
        <v>92</v>
      </c>
      <c r="C89" s="28">
        <v>46090</v>
      </c>
      <c r="D89" s="36" t="s">
        <v>71</v>
      </c>
      <c r="E89" s="40">
        <v>-300000</v>
      </c>
      <c r="F89" s="40">
        <v>0</v>
      </c>
      <c r="G89" s="40">
        <f t="shared" si="1"/>
        <v>98577.29000000027</v>
      </c>
    </row>
    <row r="90" spans="1:7" ht="9.9499999999999993" customHeight="1">
      <c r="A90" s="31">
        <v>676257283506</v>
      </c>
      <c r="B90" s="32" t="s">
        <v>78</v>
      </c>
      <c r="C90" s="33">
        <v>46090</v>
      </c>
      <c r="D90" s="32" t="s">
        <v>71</v>
      </c>
      <c r="E90" s="42">
        <v>-750</v>
      </c>
      <c r="F90" s="42">
        <v>0</v>
      </c>
      <c r="G90" s="40">
        <f t="shared" si="1"/>
        <v>97827.29000000027</v>
      </c>
    </row>
    <row r="91" spans="1:7" ht="9.9499999999999993" customHeight="1">
      <c r="A91" s="35">
        <v>50959575549</v>
      </c>
      <c r="B91" s="36" t="s">
        <v>75</v>
      </c>
      <c r="C91" s="28">
        <v>46090</v>
      </c>
      <c r="D91" s="37" t="s">
        <v>73</v>
      </c>
      <c r="E91" s="40">
        <v>0</v>
      </c>
      <c r="F91" s="40">
        <v>56312</v>
      </c>
      <c r="G91" s="40">
        <f t="shared" si="1"/>
        <v>154139.29000000027</v>
      </c>
    </row>
    <row r="92" spans="1:7" ht="9.9499999999999993" customHeight="1">
      <c r="A92" s="31">
        <v>27259575549</v>
      </c>
      <c r="B92" s="32" t="s">
        <v>76</v>
      </c>
      <c r="C92" s="33">
        <v>46090</v>
      </c>
      <c r="D92" s="32" t="s">
        <v>71</v>
      </c>
      <c r="E92" s="42">
        <v>-844.68</v>
      </c>
      <c r="F92" s="42">
        <v>0</v>
      </c>
      <c r="G92" s="40">
        <f t="shared" si="1"/>
        <v>153294.61000000028</v>
      </c>
    </row>
    <row r="93" spans="1:7" ht="9.9499999999999993" customHeight="1">
      <c r="A93" s="35">
        <v>677249837923</v>
      </c>
      <c r="B93" s="36" t="s">
        <v>72</v>
      </c>
      <c r="C93" s="28">
        <v>46090</v>
      </c>
      <c r="D93" s="37" t="s">
        <v>73</v>
      </c>
      <c r="E93" s="40">
        <v>0</v>
      </c>
      <c r="F93" s="40">
        <v>34481</v>
      </c>
      <c r="G93" s="40">
        <f t="shared" si="1"/>
        <v>187775.61000000028</v>
      </c>
    </row>
    <row r="94" spans="1:7" ht="9.9499999999999993" customHeight="1">
      <c r="A94" s="31">
        <v>210049837923</v>
      </c>
      <c r="B94" s="32" t="s">
        <v>74</v>
      </c>
      <c r="C94" s="33">
        <v>46090</v>
      </c>
      <c r="D94" s="32" t="s">
        <v>71</v>
      </c>
      <c r="E94" s="42">
        <v>-517.22</v>
      </c>
      <c r="F94" s="42">
        <v>0</v>
      </c>
      <c r="G94" s="40">
        <f t="shared" si="1"/>
        <v>187258.39000000028</v>
      </c>
    </row>
    <row r="95" spans="1:7" ht="9.9499999999999993" customHeight="1">
      <c r="A95" s="35">
        <v>677250111573</v>
      </c>
      <c r="B95" s="36" t="s">
        <v>72</v>
      </c>
      <c r="C95" s="28">
        <v>46090</v>
      </c>
      <c r="D95" s="37" t="s">
        <v>73</v>
      </c>
      <c r="E95" s="40">
        <v>0</v>
      </c>
      <c r="F95" s="40">
        <v>6065</v>
      </c>
      <c r="G95" s="40">
        <f t="shared" si="1"/>
        <v>193323.39000000028</v>
      </c>
    </row>
    <row r="96" spans="1:7" ht="9.9499999999999993" customHeight="1">
      <c r="A96" s="31">
        <v>210050111573</v>
      </c>
      <c r="B96" s="32" t="s">
        <v>74</v>
      </c>
      <c r="C96" s="33">
        <v>46090</v>
      </c>
      <c r="D96" s="32" t="s">
        <v>71</v>
      </c>
      <c r="E96" s="42">
        <v>-90.98</v>
      </c>
      <c r="F96" s="42">
        <v>0</v>
      </c>
      <c r="G96" s="40">
        <f t="shared" si="1"/>
        <v>193232.41000000027</v>
      </c>
    </row>
    <row r="97" spans="1:7" ht="9.9499999999999993" customHeight="1">
      <c r="A97" s="35">
        <v>677250252216</v>
      </c>
      <c r="B97" s="36" t="s">
        <v>85</v>
      </c>
      <c r="C97" s="28">
        <v>46090</v>
      </c>
      <c r="D97" s="37" t="s">
        <v>73</v>
      </c>
      <c r="E97" s="40">
        <v>0</v>
      </c>
      <c r="F97" s="40">
        <v>38984.980000000003</v>
      </c>
      <c r="G97" s="40">
        <f t="shared" si="1"/>
        <v>232217.39000000028</v>
      </c>
    </row>
    <row r="98" spans="1:7" ht="9.9499999999999993" customHeight="1">
      <c r="A98" s="31">
        <v>210050252216</v>
      </c>
      <c r="B98" s="32" t="s">
        <v>74</v>
      </c>
      <c r="C98" s="33">
        <v>46090</v>
      </c>
      <c r="D98" s="32" t="s">
        <v>71</v>
      </c>
      <c r="E98" s="42">
        <v>-584.77</v>
      </c>
      <c r="F98" s="42">
        <v>0</v>
      </c>
      <c r="G98" s="40">
        <f t="shared" si="1"/>
        <v>231632.62000000029</v>
      </c>
    </row>
    <row r="99" spans="1:7" ht="9.9499999999999993" customHeight="1">
      <c r="A99" s="35">
        <v>50984471937</v>
      </c>
      <c r="B99" s="36" t="s">
        <v>81</v>
      </c>
      <c r="C99" s="28">
        <v>46090</v>
      </c>
      <c r="D99" s="37" t="s">
        <v>73</v>
      </c>
      <c r="E99" s="40">
        <v>0</v>
      </c>
      <c r="F99" s="40">
        <v>4765</v>
      </c>
      <c r="G99" s="40">
        <f t="shared" si="1"/>
        <v>236397.62000000029</v>
      </c>
    </row>
    <row r="100" spans="1:7" ht="9.9499999999999993" customHeight="1">
      <c r="A100" s="31">
        <v>27284471937</v>
      </c>
      <c r="B100" s="32" t="s">
        <v>76</v>
      </c>
      <c r="C100" s="33">
        <v>46090</v>
      </c>
      <c r="D100" s="32" t="s">
        <v>71</v>
      </c>
      <c r="E100" s="42">
        <v>-71.48</v>
      </c>
      <c r="F100" s="42">
        <v>0</v>
      </c>
      <c r="G100" s="40">
        <f t="shared" si="1"/>
        <v>236326.14000000028</v>
      </c>
    </row>
    <row r="101" spans="1:7" ht="9.9499999999999993" customHeight="1">
      <c r="A101" s="35">
        <v>50984477359</v>
      </c>
      <c r="B101" s="36" t="s">
        <v>81</v>
      </c>
      <c r="C101" s="28">
        <v>46090</v>
      </c>
      <c r="D101" s="37" t="s">
        <v>73</v>
      </c>
      <c r="E101" s="40">
        <v>0</v>
      </c>
      <c r="F101" s="40">
        <v>21658.5</v>
      </c>
      <c r="G101" s="40">
        <f t="shared" si="1"/>
        <v>257984.64000000028</v>
      </c>
    </row>
    <row r="102" spans="1:7" ht="9.9499999999999993" customHeight="1">
      <c r="A102" s="31">
        <v>27284477359</v>
      </c>
      <c r="B102" s="32" t="s">
        <v>76</v>
      </c>
      <c r="C102" s="33">
        <v>46090</v>
      </c>
      <c r="D102" s="32" t="s">
        <v>71</v>
      </c>
      <c r="E102" s="42">
        <v>-324.88</v>
      </c>
      <c r="F102" s="42">
        <v>0</v>
      </c>
      <c r="G102" s="40">
        <f t="shared" si="1"/>
        <v>257659.76000000027</v>
      </c>
    </row>
    <row r="103" spans="1:7" ht="9.9499999999999993" customHeight="1">
      <c r="A103" s="35">
        <v>50900472468</v>
      </c>
      <c r="B103" s="36" t="s">
        <v>83</v>
      </c>
      <c r="C103" s="28">
        <v>46090</v>
      </c>
      <c r="D103" s="37" t="s">
        <v>73</v>
      </c>
      <c r="E103" s="40">
        <v>0</v>
      </c>
      <c r="F103" s="40">
        <v>25989.98</v>
      </c>
      <c r="G103" s="40">
        <f t="shared" si="1"/>
        <v>283649.74000000028</v>
      </c>
    </row>
    <row r="104" spans="1:7" ht="9.9499999999999993" customHeight="1">
      <c r="A104" s="31">
        <v>27200472468</v>
      </c>
      <c r="B104" s="32" t="s">
        <v>76</v>
      </c>
      <c r="C104" s="33">
        <v>46090</v>
      </c>
      <c r="D104" s="32" t="s">
        <v>71</v>
      </c>
      <c r="E104" s="42">
        <v>-389.85</v>
      </c>
      <c r="F104" s="42">
        <v>0</v>
      </c>
      <c r="G104" s="40">
        <f t="shared" si="1"/>
        <v>283259.89000000031</v>
      </c>
    </row>
    <row r="105" spans="1:7" ht="9.9499999999999993" customHeight="1">
      <c r="A105" s="35">
        <v>50982013282</v>
      </c>
      <c r="B105" s="36" t="s">
        <v>86</v>
      </c>
      <c r="C105" s="28">
        <v>46091</v>
      </c>
      <c r="D105" s="37" t="s">
        <v>73</v>
      </c>
      <c r="E105" s="40">
        <v>0</v>
      </c>
      <c r="F105" s="40">
        <v>21545.99</v>
      </c>
      <c r="G105" s="40">
        <f t="shared" si="1"/>
        <v>304805.8800000003</v>
      </c>
    </row>
    <row r="106" spans="1:7" ht="9.9499999999999993" customHeight="1">
      <c r="A106" s="31">
        <v>27282013282</v>
      </c>
      <c r="B106" s="32" t="s">
        <v>76</v>
      </c>
      <c r="C106" s="33">
        <v>46091</v>
      </c>
      <c r="D106" s="32" t="s">
        <v>71</v>
      </c>
      <c r="E106" s="42">
        <v>-323.19</v>
      </c>
      <c r="F106" s="42">
        <v>0</v>
      </c>
      <c r="G106" s="40">
        <f t="shared" si="1"/>
        <v>304482.69000000029</v>
      </c>
    </row>
    <row r="107" spans="1:7" ht="9.9499999999999993" customHeight="1">
      <c r="A107" s="35">
        <v>50959772131</v>
      </c>
      <c r="B107" s="36" t="s">
        <v>75</v>
      </c>
      <c r="C107" s="28">
        <v>46091</v>
      </c>
      <c r="D107" s="37" t="s">
        <v>73</v>
      </c>
      <c r="E107" s="40">
        <v>0</v>
      </c>
      <c r="F107" s="40">
        <v>8725</v>
      </c>
      <c r="G107" s="40">
        <f t="shared" si="1"/>
        <v>313207.69000000029</v>
      </c>
    </row>
    <row r="108" spans="1:7" ht="9.9499999999999993" customHeight="1">
      <c r="A108" s="31">
        <v>27259772131</v>
      </c>
      <c r="B108" s="32" t="s">
        <v>76</v>
      </c>
      <c r="C108" s="33">
        <v>46091</v>
      </c>
      <c r="D108" s="32" t="s">
        <v>71</v>
      </c>
      <c r="E108" s="42">
        <v>-130.88</v>
      </c>
      <c r="F108" s="42">
        <v>0</v>
      </c>
      <c r="G108" s="40">
        <f t="shared" si="1"/>
        <v>313076.81000000029</v>
      </c>
    </row>
    <row r="109" spans="1:7" ht="9.9499999999999993" customHeight="1">
      <c r="A109" s="35">
        <v>329257380272</v>
      </c>
      <c r="B109" s="36" t="s">
        <v>93</v>
      </c>
      <c r="C109" s="28">
        <v>46091</v>
      </c>
      <c r="D109" s="36" t="s">
        <v>71</v>
      </c>
      <c r="E109" s="40">
        <v>-170000</v>
      </c>
      <c r="F109" s="40">
        <v>0</v>
      </c>
      <c r="G109" s="40">
        <f t="shared" si="1"/>
        <v>143076.81000000029</v>
      </c>
    </row>
    <row r="110" spans="1:7" ht="9.9499999999999993" customHeight="1">
      <c r="A110" s="31">
        <v>676257380272</v>
      </c>
      <c r="B110" s="32" t="s">
        <v>78</v>
      </c>
      <c r="C110" s="33">
        <v>46091</v>
      </c>
      <c r="D110" s="32" t="s">
        <v>71</v>
      </c>
      <c r="E110" s="42">
        <v>-425</v>
      </c>
      <c r="F110" s="42">
        <v>0</v>
      </c>
      <c r="G110" s="40">
        <f t="shared" si="1"/>
        <v>142651.81000000029</v>
      </c>
    </row>
    <row r="111" spans="1:7" ht="9.9499999999999993" customHeight="1">
      <c r="A111" s="35">
        <v>677251754092</v>
      </c>
      <c r="B111" s="36" t="s">
        <v>72</v>
      </c>
      <c r="C111" s="28">
        <v>46091</v>
      </c>
      <c r="D111" s="37" t="s">
        <v>73</v>
      </c>
      <c r="E111" s="40">
        <v>0</v>
      </c>
      <c r="F111" s="40">
        <v>4363</v>
      </c>
      <c r="G111" s="40">
        <f t="shared" si="1"/>
        <v>147014.81000000029</v>
      </c>
    </row>
    <row r="112" spans="1:7" ht="9.9499999999999993" customHeight="1">
      <c r="A112" s="31">
        <v>210051754092</v>
      </c>
      <c r="B112" s="32" t="s">
        <v>74</v>
      </c>
      <c r="C112" s="33">
        <v>46091</v>
      </c>
      <c r="D112" s="32" t="s">
        <v>71</v>
      </c>
      <c r="E112" s="42">
        <v>-65.45</v>
      </c>
      <c r="F112" s="42">
        <v>0</v>
      </c>
      <c r="G112" s="40">
        <f t="shared" si="1"/>
        <v>146949.36000000028</v>
      </c>
    </row>
    <row r="113" spans="1:7" ht="9.9499999999999993" customHeight="1">
      <c r="A113" s="35">
        <v>50996812476</v>
      </c>
      <c r="B113" s="36" t="s">
        <v>81</v>
      </c>
      <c r="C113" s="28">
        <v>46091</v>
      </c>
      <c r="D113" s="37" t="s">
        <v>73</v>
      </c>
      <c r="E113" s="40">
        <v>0</v>
      </c>
      <c r="F113" s="40">
        <v>21812</v>
      </c>
      <c r="G113" s="40">
        <f t="shared" si="1"/>
        <v>168761.36000000028</v>
      </c>
    </row>
    <row r="114" spans="1:7" ht="9.9499999999999993" customHeight="1">
      <c r="A114" s="31">
        <v>27296812476</v>
      </c>
      <c r="B114" s="32" t="s">
        <v>76</v>
      </c>
      <c r="C114" s="33">
        <v>46091</v>
      </c>
      <c r="D114" s="32" t="s">
        <v>71</v>
      </c>
      <c r="E114" s="42">
        <v>-327.18</v>
      </c>
      <c r="F114" s="42">
        <v>0</v>
      </c>
      <c r="G114" s="40">
        <f t="shared" si="1"/>
        <v>168434.18000000028</v>
      </c>
    </row>
    <row r="115" spans="1:7" ht="9.9499999999999993" customHeight="1">
      <c r="A115" s="35">
        <v>50959999177</v>
      </c>
      <c r="B115" s="36" t="s">
        <v>75</v>
      </c>
      <c r="C115" s="28">
        <v>46091</v>
      </c>
      <c r="D115" s="37" t="s">
        <v>73</v>
      </c>
      <c r="E115" s="40">
        <v>0</v>
      </c>
      <c r="F115" s="40">
        <v>13080</v>
      </c>
      <c r="G115" s="40">
        <f t="shared" si="1"/>
        <v>181514.18000000028</v>
      </c>
    </row>
    <row r="116" spans="1:7" ht="9.9499999999999993" customHeight="1">
      <c r="A116" s="31">
        <v>27259999177</v>
      </c>
      <c r="B116" s="32" t="s">
        <v>76</v>
      </c>
      <c r="C116" s="33">
        <v>46091</v>
      </c>
      <c r="D116" s="32" t="s">
        <v>71</v>
      </c>
      <c r="E116" s="42">
        <v>-196.2</v>
      </c>
      <c r="F116" s="42">
        <v>0</v>
      </c>
      <c r="G116" s="40">
        <f t="shared" si="1"/>
        <v>181317.98000000027</v>
      </c>
    </row>
    <row r="117" spans="1:7" ht="9.9499999999999993" customHeight="1">
      <c r="A117" s="35">
        <v>50950105974</v>
      </c>
      <c r="B117" s="36" t="s">
        <v>75</v>
      </c>
      <c r="C117" s="28">
        <v>46092</v>
      </c>
      <c r="D117" s="37" t="s">
        <v>73</v>
      </c>
      <c r="E117" s="40">
        <v>0</v>
      </c>
      <c r="F117" s="40">
        <v>21900</v>
      </c>
      <c r="G117" s="40">
        <f t="shared" si="1"/>
        <v>203217.98000000027</v>
      </c>
    </row>
    <row r="118" spans="1:7" ht="9.9499999999999993" customHeight="1">
      <c r="A118" s="31">
        <v>27250105974</v>
      </c>
      <c r="B118" s="32" t="s">
        <v>76</v>
      </c>
      <c r="C118" s="33">
        <v>46092</v>
      </c>
      <c r="D118" s="32" t="s">
        <v>71</v>
      </c>
      <c r="E118" s="42">
        <v>-328.5</v>
      </c>
      <c r="F118" s="42">
        <v>0</v>
      </c>
      <c r="G118" s="40">
        <f t="shared" si="1"/>
        <v>202889.48000000027</v>
      </c>
    </row>
    <row r="119" spans="1:7" ht="9.9499999999999993" customHeight="1">
      <c r="A119" s="35">
        <v>50950263206</v>
      </c>
      <c r="B119" s="36" t="s">
        <v>75</v>
      </c>
      <c r="C119" s="28">
        <v>46092</v>
      </c>
      <c r="D119" s="37" t="s">
        <v>73</v>
      </c>
      <c r="E119" s="40">
        <v>0</v>
      </c>
      <c r="F119" s="40">
        <v>21910</v>
      </c>
      <c r="G119" s="40">
        <f t="shared" si="1"/>
        <v>224799.48000000027</v>
      </c>
    </row>
    <row r="120" spans="1:7" ht="9.9499999999999993" customHeight="1">
      <c r="A120" s="31">
        <v>27250263206</v>
      </c>
      <c r="B120" s="32" t="s">
        <v>76</v>
      </c>
      <c r="C120" s="33">
        <v>46092</v>
      </c>
      <c r="D120" s="32" t="s">
        <v>71</v>
      </c>
      <c r="E120" s="42">
        <v>-328.65</v>
      </c>
      <c r="F120" s="42">
        <v>0</v>
      </c>
      <c r="G120" s="40">
        <f t="shared" si="1"/>
        <v>224470.83000000028</v>
      </c>
    </row>
    <row r="121" spans="1:7" ht="9.9499999999999993" customHeight="1">
      <c r="A121" s="35">
        <v>50912412880</v>
      </c>
      <c r="B121" s="36" t="s">
        <v>81</v>
      </c>
      <c r="C121" s="28">
        <v>46093</v>
      </c>
      <c r="D121" s="37" t="s">
        <v>73</v>
      </c>
      <c r="E121" s="40">
        <v>0</v>
      </c>
      <c r="F121" s="40">
        <v>22048.5</v>
      </c>
      <c r="G121" s="40">
        <f t="shared" si="1"/>
        <v>246519.33000000028</v>
      </c>
    </row>
    <row r="122" spans="1:7" ht="9.9499999999999993" customHeight="1">
      <c r="A122" s="31">
        <v>27212412880</v>
      </c>
      <c r="B122" s="32" t="s">
        <v>76</v>
      </c>
      <c r="C122" s="33">
        <v>46093</v>
      </c>
      <c r="D122" s="32" t="s">
        <v>71</v>
      </c>
      <c r="E122" s="42">
        <v>-330.73</v>
      </c>
      <c r="F122" s="42">
        <v>0</v>
      </c>
      <c r="G122" s="40">
        <f t="shared" si="1"/>
        <v>246188.60000000027</v>
      </c>
    </row>
    <row r="123" spans="1:7" ht="9.9499999999999993" customHeight="1">
      <c r="A123" s="35">
        <v>677255498540</v>
      </c>
      <c r="B123" s="36" t="s">
        <v>72</v>
      </c>
      <c r="C123" s="28">
        <v>46093</v>
      </c>
      <c r="D123" s="37" t="s">
        <v>73</v>
      </c>
      <c r="E123" s="40">
        <v>0</v>
      </c>
      <c r="F123" s="40">
        <v>8820</v>
      </c>
      <c r="G123" s="40">
        <f t="shared" si="1"/>
        <v>255008.60000000027</v>
      </c>
    </row>
    <row r="124" spans="1:7" ht="9.9499999999999993" customHeight="1">
      <c r="A124" s="31">
        <v>210055498540</v>
      </c>
      <c r="B124" s="32" t="s">
        <v>74</v>
      </c>
      <c r="C124" s="33">
        <v>46093</v>
      </c>
      <c r="D124" s="32" t="s">
        <v>71</v>
      </c>
      <c r="E124" s="42">
        <v>-132.30000000000001</v>
      </c>
      <c r="F124" s="42">
        <v>0</v>
      </c>
      <c r="G124" s="40">
        <f t="shared" si="1"/>
        <v>254876.30000000028</v>
      </c>
    </row>
    <row r="125" spans="1:7" ht="9.9499999999999993" customHeight="1">
      <c r="A125" s="35">
        <v>50950509167</v>
      </c>
      <c r="B125" s="36" t="s">
        <v>75</v>
      </c>
      <c r="C125" s="28">
        <v>46093</v>
      </c>
      <c r="D125" s="37" t="s">
        <v>73</v>
      </c>
      <c r="E125" s="40">
        <v>0</v>
      </c>
      <c r="F125" s="40">
        <v>17640</v>
      </c>
      <c r="G125" s="40">
        <f t="shared" si="1"/>
        <v>272516.30000000028</v>
      </c>
    </row>
    <row r="126" spans="1:7" ht="9.9499999999999993" customHeight="1">
      <c r="A126" s="31">
        <v>27250509167</v>
      </c>
      <c r="B126" s="32" t="s">
        <v>76</v>
      </c>
      <c r="C126" s="33">
        <v>46093</v>
      </c>
      <c r="D126" s="32" t="s">
        <v>71</v>
      </c>
      <c r="E126" s="42">
        <v>-264.60000000000002</v>
      </c>
      <c r="F126" s="42">
        <v>0</v>
      </c>
      <c r="G126" s="40">
        <f t="shared" si="1"/>
        <v>272251.7000000003</v>
      </c>
    </row>
    <row r="127" spans="1:7" ht="9.9499999999999993" customHeight="1">
      <c r="A127" s="35">
        <v>50924381031</v>
      </c>
      <c r="B127" s="36" t="s">
        <v>81</v>
      </c>
      <c r="C127" s="28">
        <v>46094</v>
      </c>
      <c r="D127" s="37" t="s">
        <v>73</v>
      </c>
      <c r="E127" s="40">
        <v>0</v>
      </c>
      <c r="F127" s="40">
        <v>26595.599999999999</v>
      </c>
      <c r="G127" s="40">
        <f t="shared" si="1"/>
        <v>298847.30000000028</v>
      </c>
    </row>
    <row r="128" spans="1:7" ht="9.9499999999999993" customHeight="1">
      <c r="A128" s="31">
        <v>27224381031</v>
      </c>
      <c r="B128" s="32" t="s">
        <v>76</v>
      </c>
      <c r="C128" s="33">
        <v>46094</v>
      </c>
      <c r="D128" s="32" t="s">
        <v>71</v>
      </c>
      <c r="E128" s="42">
        <v>-398.93</v>
      </c>
      <c r="F128" s="42">
        <v>0</v>
      </c>
      <c r="G128" s="40">
        <f t="shared" si="1"/>
        <v>298448.37000000029</v>
      </c>
    </row>
    <row r="129" spans="1:7" ht="9.9499999999999993" customHeight="1">
      <c r="A129" s="35">
        <v>329261164321</v>
      </c>
      <c r="B129" s="36" t="s">
        <v>94</v>
      </c>
      <c r="C129" s="28">
        <v>46094</v>
      </c>
      <c r="D129" s="36" t="s">
        <v>71</v>
      </c>
      <c r="E129" s="40">
        <v>-110000</v>
      </c>
      <c r="F129" s="40">
        <v>0</v>
      </c>
      <c r="G129" s="40">
        <f t="shared" si="1"/>
        <v>188448.37000000029</v>
      </c>
    </row>
    <row r="130" spans="1:7" ht="9.9499999999999993" customHeight="1">
      <c r="A130" s="31">
        <v>676261164321</v>
      </c>
      <c r="B130" s="32" t="s">
        <v>78</v>
      </c>
      <c r="C130" s="33">
        <v>46094</v>
      </c>
      <c r="D130" s="32" t="s">
        <v>71</v>
      </c>
      <c r="E130" s="42">
        <v>-275</v>
      </c>
      <c r="F130" s="42">
        <v>0</v>
      </c>
      <c r="G130" s="40">
        <f t="shared" si="1"/>
        <v>188173.37000000029</v>
      </c>
    </row>
    <row r="131" spans="1:7" ht="9.9499999999999993" customHeight="1">
      <c r="A131" s="35">
        <v>50950738810</v>
      </c>
      <c r="B131" s="36" t="s">
        <v>75</v>
      </c>
      <c r="C131" s="28">
        <v>46094</v>
      </c>
      <c r="D131" s="37" t="s">
        <v>73</v>
      </c>
      <c r="E131" s="40">
        <v>0</v>
      </c>
      <c r="F131" s="40">
        <v>26600</v>
      </c>
      <c r="G131" s="40">
        <f t="shared" si="1"/>
        <v>214773.37000000029</v>
      </c>
    </row>
    <row r="132" spans="1:7" ht="9.9499999999999993" customHeight="1">
      <c r="A132" s="31">
        <v>27250738810</v>
      </c>
      <c r="B132" s="32" t="s">
        <v>76</v>
      </c>
      <c r="C132" s="33">
        <v>46094</v>
      </c>
      <c r="D132" s="32" t="s">
        <v>71</v>
      </c>
      <c r="E132" s="42">
        <v>-399</v>
      </c>
      <c r="F132" s="42">
        <v>0</v>
      </c>
      <c r="G132" s="40">
        <f t="shared" si="1"/>
        <v>214374.37000000029</v>
      </c>
    </row>
    <row r="133" spans="1:7" ht="9.9499999999999993" customHeight="1">
      <c r="A133" s="35">
        <v>677257545807</v>
      </c>
      <c r="B133" s="36" t="s">
        <v>72</v>
      </c>
      <c r="C133" s="28">
        <v>46094</v>
      </c>
      <c r="D133" s="37" t="s">
        <v>73</v>
      </c>
      <c r="E133" s="40">
        <v>0</v>
      </c>
      <c r="F133" s="40">
        <v>5763</v>
      </c>
      <c r="G133" s="40">
        <f t="shared" ref="G133:G197" si="2">G132+E133+F133</f>
        <v>220137.37000000029</v>
      </c>
    </row>
    <row r="134" spans="1:7" ht="9.9499999999999993" customHeight="1">
      <c r="A134" s="31">
        <v>210057545807</v>
      </c>
      <c r="B134" s="32" t="s">
        <v>74</v>
      </c>
      <c r="C134" s="33">
        <v>46094</v>
      </c>
      <c r="D134" s="32" t="s">
        <v>71</v>
      </c>
      <c r="E134" s="42">
        <v>-86.45</v>
      </c>
      <c r="F134" s="42">
        <v>0</v>
      </c>
      <c r="G134" s="40">
        <f t="shared" si="2"/>
        <v>220050.92000000027</v>
      </c>
    </row>
    <row r="135" spans="1:7" ht="9.9499999999999993" customHeight="1">
      <c r="A135" s="35">
        <v>50927382640</v>
      </c>
      <c r="B135" s="36" t="s">
        <v>81</v>
      </c>
      <c r="C135" s="28">
        <v>46094</v>
      </c>
      <c r="D135" s="37" t="s">
        <v>73</v>
      </c>
      <c r="E135" s="40">
        <v>0</v>
      </c>
      <c r="F135" s="40">
        <v>31028.2</v>
      </c>
      <c r="G135" s="40">
        <f t="shared" si="2"/>
        <v>251079.12000000029</v>
      </c>
    </row>
    <row r="136" spans="1:7" ht="9.9499999999999993" customHeight="1">
      <c r="A136" s="31">
        <v>27227382640</v>
      </c>
      <c r="B136" s="32" t="s">
        <v>76</v>
      </c>
      <c r="C136" s="33">
        <v>46094</v>
      </c>
      <c r="D136" s="32" t="s">
        <v>71</v>
      </c>
      <c r="E136" s="42">
        <v>-465.42</v>
      </c>
      <c r="F136" s="42">
        <v>0</v>
      </c>
      <c r="G136" s="40">
        <f t="shared" si="2"/>
        <v>250613.70000000027</v>
      </c>
    </row>
    <row r="137" spans="1:7" ht="9.9499999999999993" customHeight="1">
      <c r="A137" s="35">
        <v>677257979102</v>
      </c>
      <c r="B137" s="36" t="s">
        <v>72</v>
      </c>
      <c r="C137" s="28">
        <v>46094</v>
      </c>
      <c r="D137" s="37" t="s">
        <v>73</v>
      </c>
      <c r="E137" s="40">
        <v>0</v>
      </c>
      <c r="F137" s="40">
        <v>13298</v>
      </c>
      <c r="G137" s="40">
        <f t="shared" si="2"/>
        <v>263911.7000000003</v>
      </c>
    </row>
    <row r="138" spans="1:7" ht="9.9499999999999993" customHeight="1">
      <c r="A138" s="31">
        <v>210057979102</v>
      </c>
      <c r="B138" s="32" t="s">
        <v>74</v>
      </c>
      <c r="C138" s="33">
        <v>46094</v>
      </c>
      <c r="D138" s="32" t="s">
        <v>71</v>
      </c>
      <c r="E138" s="42">
        <v>-199.47</v>
      </c>
      <c r="F138" s="42">
        <v>0</v>
      </c>
      <c r="G138" s="40">
        <f t="shared" si="2"/>
        <v>263712.23000000033</v>
      </c>
    </row>
    <row r="139" spans="1:7" ht="9.9499999999999993" customHeight="1">
      <c r="A139" s="35">
        <v>677258210265</v>
      </c>
      <c r="B139" s="36" t="s">
        <v>85</v>
      </c>
      <c r="C139" s="28">
        <v>46095</v>
      </c>
      <c r="D139" s="37" t="s">
        <v>73</v>
      </c>
      <c r="E139" s="40">
        <v>0</v>
      </c>
      <c r="F139" s="40">
        <v>44325.87</v>
      </c>
      <c r="G139" s="40">
        <f t="shared" si="2"/>
        <v>308038.10000000033</v>
      </c>
    </row>
    <row r="140" spans="1:7" ht="9.9499999999999993" customHeight="1">
      <c r="A140" s="31">
        <v>210058210265</v>
      </c>
      <c r="B140" s="32" t="s">
        <v>74</v>
      </c>
      <c r="C140" s="33">
        <v>46095</v>
      </c>
      <c r="D140" s="32" t="s">
        <v>71</v>
      </c>
      <c r="E140" s="42">
        <v>-664.89</v>
      </c>
      <c r="F140" s="42">
        <v>0</v>
      </c>
      <c r="G140" s="40">
        <f t="shared" si="2"/>
        <v>307373.21000000031</v>
      </c>
    </row>
    <row r="141" spans="1:7" ht="9.9499999999999993" customHeight="1">
      <c r="A141" s="35">
        <v>677258641610</v>
      </c>
      <c r="B141" s="36" t="s">
        <v>72</v>
      </c>
      <c r="C141" s="28">
        <v>46095</v>
      </c>
      <c r="D141" s="37" t="s">
        <v>73</v>
      </c>
      <c r="E141" s="40">
        <v>0</v>
      </c>
      <c r="F141" s="40">
        <v>6649</v>
      </c>
      <c r="G141" s="40">
        <f t="shared" si="2"/>
        <v>314022.21000000031</v>
      </c>
    </row>
    <row r="142" spans="1:7" ht="9.9499999999999993" customHeight="1">
      <c r="A142" s="31">
        <v>210058641610</v>
      </c>
      <c r="B142" s="32" t="s">
        <v>74</v>
      </c>
      <c r="C142" s="33">
        <v>46095</v>
      </c>
      <c r="D142" s="32" t="s">
        <v>71</v>
      </c>
      <c r="E142" s="42">
        <v>-99.74</v>
      </c>
      <c r="F142" s="42">
        <v>0</v>
      </c>
      <c r="G142" s="40">
        <f t="shared" si="2"/>
        <v>313922.47000000032</v>
      </c>
    </row>
    <row r="143" spans="1:7" ht="9.9499999999999993" customHeight="1">
      <c r="A143" s="35">
        <v>677260147451</v>
      </c>
      <c r="B143" s="36" t="s">
        <v>72</v>
      </c>
      <c r="C143" s="28">
        <v>46095</v>
      </c>
      <c r="D143" s="37" t="s">
        <v>73</v>
      </c>
      <c r="E143" s="40">
        <v>0</v>
      </c>
      <c r="F143" s="40">
        <v>17731</v>
      </c>
      <c r="G143" s="40">
        <f t="shared" si="2"/>
        <v>331653.47000000032</v>
      </c>
    </row>
    <row r="144" spans="1:7" ht="9.9499999999999993" customHeight="1">
      <c r="A144" s="31">
        <v>210060147451</v>
      </c>
      <c r="B144" s="32" t="s">
        <v>74</v>
      </c>
      <c r="C144" s="33">
        <v>46095</v>
      </c>
      <c r="D144" s="32" t="s">
        <v>71</v>
      </c>
      <c r="E144" s="42">
        <v>-265.97000000000003</v>
      </c>
      <c r="F144" s="42">
        <v>0</v>
      </c>
      <c r="G144" s="40">
        <f t="shared" si="2"/>
        <v>331387.50000000035</v>
      </c>
    </row>
    <row r="145" spans="1:7" ht="9.9499999999999993" customHeight="1">
      <c r="A145" s="35">
        <v>50905513442</v>
      </c>
      <c r="B145" s="36" t="s">
        <v>83</v>
      </c>
      <c r="C145" s="28">
        <v>46095</v>
      </c>
      <c r="D145" s="37" t="s">
        <v>73</v>
      </c>
      <c r="E145" s="40">
        <v>0</v>
      </c>
      <c r="F145" s="40">
        <v>22340.240000000002</v>
      </c>
      <c r="G145" s="40">
        <f t="shared" si="2"/>
        <v>353727.74000000034</v>
      </c>
    </row>
    <row r="146" spans="1:7" ht="9.9499999999999993" customHeight="1">
      <c r="A146" s="31">
        <v>27205513442</v>
      </c>
      <c r="B146" s="32" t="s">
        <v>76</v>
      </c>
      <c r="C146" s="33">
        <v>46095</v>
      </c>
      <c r="D146" s="32" t="s">
        <v>71</v>
      </c>
      <c r="E146" s="42">
        <v>-335.1</v>
      </c>
      <c r="F146" s="42">
        <v>0</v>
      </c>
      <c r="G146" s="40">
        <f t="shared" si="2"/>
        <v>353392.64000000036</v>
      </c>
    </row>
    <row r="147" spans="1:7" ht="9.9499999999999993" customHeight="1">
      <c r="A147" s="35">
        <v>50942299239</v>
      </c>
      <c r="B147" s="36" t="s">
        <v>81</v>
      </c>
      <c r="C147" s="28">
        <v>46096</v>
      </c>
      <c r="D147" s="37" t="s">
        <v>73</v>
      </c>
      <c r="E147" s="40">
        <v>0</v>
      </c>
      <c r="F147" s="40">
        <v>20106</v>
      </c>
      <c r="G147" s="40">
        <f t="shared" si="2"/>
        <v>373498.64000000036</v>
      </c>
    </row>
    <row r="148" spans="1:7" ht="9.9499999999999993" customHeight="1">
      <c r="A148" s="31">
        <v>27242299239</v>
      </c>
      <c r="B148" s="32" t="s">
        <v>76</v>
      </c>
      <c r="C148" s="33">
        <v>46096</v>
      </c>
      <c r="D148" s="32" t="s">
        <v>71</v>
      </c>
      <c r="E148" s="42">
        <v>-301.58999999999997</v>
      </c>
      <c r="F148" s="42">
        <v>0</v>
      </c>
      <c r="G148" s="40">
        <f t="shared" si="2"/>
        <v>373197.05000000034</v>
      </c>
    </row>
    <row r="149" spans="1:7" ht="9.9499999999999993" customHeight="1">
      <c r="A149" s="35">
        <v>50951445677</v>
      </c>
      <c r="B149" s="36" t="s">
        <v>75</v>
      </c>
      <c r="C149" s="28">
        <v>46096</v>
      </c>
      <c r="D149" s="37" t="s">
        <v>73</v>
      </c>
      <c r="E149" s="40">
        <v>0</v>
      </c>
      <c r="F149" s="40">
        <v>22340</v>
      </c>
      <c r="G149" s="40">
        <f t="shared" si="2"/>
        <v>395537.05000000034</v>
      </c>
    </row>
    <row r="150" spans="1:7" ht="9.9499999999999993" customHeight="1">
      <c r="A150" s="31">
        <v>27251445677</v>
      </c>
      <c r="B150" s="32" t="s">
        <v>76</v>
      </c>
      <c r="C150" s="33">
        <v>46096</v>
      </c>
      <c r="D150" s="32" t="s">
        <v>71</v>
      </c>
      <c r="E150" s="42">
        <v>-335.1</v>
      </c>
      <c r="F150" s="42">
        <v>0</v>
      </c>
      <c r="G150" s="40">
        <f t="shared" si="2"/>
        <v>395201.95000000036</v>
      </c>
    </row>
    <row r="151" spans="1:7" ht="9.9499999999999993" customHeight="1">
      <c r="A151" s="35">
        <v>50906465624</v>
      </c>
      <c r="B151" s="36" t="s">
        <v>83</v>
      </c>
      <c r="C151" s="28">
        <v>46096</v>
      </c>
      <c r="D151" s="37" t="s">
        <v>73</v>
      </c>
      <c r="E151" s="40">
        <v>0</v>
      </c>
      <c r="F151" s="40">
        <v>31276.34</v>
      </c>
      <c r="G151" s="40">
        <f t="shared" si="2"/>
        <v>426478.29000000039</v>
      </c>
    </row>
    <row r="152" spans="1:7" ht="9.9499999999999993" customHeight="1">
      <c r="A152" s="31">
        <v>27206465624</v>
      </c>
      <c r="B152" s="32" t="s">
        <v>76</v>
      </c>
      <c r="C152" s="33">
        <v>46096</v>
      </c>
      <c r="D152" s="32" t="s">
        <v>71</v>
      </c>
      <c r="E152" s="42">
        <v>-469.15</v>
      </c>
      <c r="F152" s="42">
        <v>0</v>
      </c>
      <c r="G152" s="40">
        <f t="shared" si="2"/>
        <v>426009.14000000036</v>
      </c>
    </row>
    <row r="153" spans="1:7" ht="9.9499999999999993" customHeight="1">
      <c r="A153" s="35">
        <v>50951547741</v>
      </c>
      <c r="B153" s="36" t="s">
        <v>75</v>
      </c>
      <c r="C153" s="28">
        <v>46097</v>
      </c>
      <c r="D153" s="37" t="s">
        <v>73</v>
      </c>
      <c r="E153" s="40">
        <v>0</v>
      </c>
      <c r="F153" s="40">
        <v>35745</v>
      </c>
      <c r="G153" s="40">
        <f t="shared" si="2"/>
        <v>461754.14000000036</v>
      </c>
    </row>
    <row r="154" spans="1:7" ht="9.9499999999999993" customHeight="1">
      <c r="A154" s="31">
        <v>27251547741</v>
      </c>
      <c r="B154" s="32" t="s">
        <v>76</v>
      </c>
      <c r="C154" s="33">
        <v>46097</v>
      </c>
      <c r="D154" s="32" t="s">
        <v>71</v>
      </c>
      <c r="E154" s="42">
        <v>-536.17999999999995</v>
      </c>
      <c r="F154" s="42">
        <v>0</v>
      </c>
      <c r="G154" s="40">
        <f t="shared" si="2"/>
        <v>461217.96000000037</v>
      </c>
    </row>
    <row r="155" spans="1:7" ht="9.9499999999999993" customHeight="1">
      <c r="A155" s="35">
        <v>329261377299</v>
      </c>
      <c r="B155" s="36" t="s">
        <v>95</v>
      </c>
      <c r="C155" s="28">
        <v>46097</v>
      </c>
      <c r="D155" s="36" t="s">
        <v>71</v>
      </c>
      <c r="E155" s="40">
        <v>-300000</v>
      </c>
      <c r="F155" s="40">
        <v>0</v>
      </c>
      <c r="G155" s="40">
        <f t="shared" si="2"/>
        <v>161217.96000000037</v>
      </c>
    </row>
    <row r="156" spans="1:7" ht="9.9499999999999993" customHeight="1">
      <c r="A156" s="31">
        <v>676261377299</v>
      </c>
      <c r="B156" s="32" t="s">
        <v>78</v>
      </c>
      <c r="C156" s="33">
        <v>46097</v>
      </c>
      <c r="D156" s="32" t="s">
        <v>71</v>
      </c>
      <c r="E156" s="42">
        <v>-750</v>
      </c>
      <c r="F156" s="42">
        <v>0</v>
      </c>
      <c r="G156" s="40">
        <f t="shared" si="2"/>
        <v>160467.96000000037</v>
      </c>
    </row>
    <row r="157" spans="1:7" ht="9.9499999999999993" customHeight="1">
      <c r="A157" s="35">
        <v>677263214733</v>
      </c>
      <c r="B157" s="36" t="s">
        <v>85</v>
      </c>
      <c r="C157" s="28">
        <v>46097</v>
      </c>
      <c r="D157" s="37" t="s">
        <v>73</v>
      </c>
      <c r="E157" s="40">
        <v>0</v>
      </c>
      <c r="F157" s="40">
        <v>44680.480000000003</v>
      </c>
      <c r="G157" s="40">
        <f t="shared" si="2"/>
        <v>205148.44000000038</v>
      </c>
    </row>
    <row r="158" spans="1:7" ht="9.9499999999999993" customHeight="1">
      <c r="A158" s="31">
        <v>210063214733</v>
      </c>
      <c r="B158" s="32" t="s">
        <v>74</v>
      </c>
      <c r="C158" s="33">
        <v>46097</v>
      </c>
      <c r="D158" s="32" t="s">
        <v>71</v>
      </c>
      <c r="E158" s="42">
        <v>-670.21</v>
      </c>
      <c r="F158" s="42">
        <v>0</v>
      </c>
      <c r="G158" s="40">
        <f t="shared" si="2"/>
        <v>204478.23000000039</v>
      </c>
    </row>
    <row r="159" spans="1:7" ht="9.9499999999999993" customHeight="1">
      <c r="A159" s="35">
        <v>50955543153</v>
      </c>
      <c r="B159" s="36" t="s">
        <v>81</v>
      </c>
      <c r="C159" s="28">
        <v>46097</v>
      </c>
      <c r="D159" s="37" t="s">
        <v>73</v>
      </c>
      <c r="E159" s="40">
        <v>0</v>
      </c>
      <c r="F159" s="40">
        <v>31276</v>
      </c>
      <c r="G159" s="40">
        <f t="shared" si="2"/>
        <v>235754.23000000039</v>
      </c>
    </row>
    <row r="160" spans="1:7" ht="9.9499999999999993" customHeight="1">
      <c r="A160" s="31">
        <v>27255543153</v>
      </c>
      <c r="B160" s="32" t="s">
        <v>76</v>
      </c>
      <c r="C160" s="33">
        <v>46097</v>
      </c>
      <c r="D160" s="32" t="s">
        <v>71</v>
      </c>
      <c r="E160" s="42">
        <v>-469.14</v>
      </c>
      <c r="F160" s="42">
        <v>0</v>
      </c>
      <c r="G160" s="40">
        <f t="shared" si="2"/>
        <v>235285.09000000037</v>
      </c>
    </row>
    <row r="161" spans="1:7" ht="9.9499999999999993" customHeight="1">
      <c r="A161" s="35">
        <v>677263481344</v>
      </c>
      <c r="B161" s="36" t="s">
        <v>72</v>
      </c>
      <c r="C161" s="28">
        <v>46097</v>
      </c>
      <c r="D161" s="37" t="s">
        <v>73</v>
      </c>
      <c r="E161" s="40">
        <v>0</v>
      </c>
      <c r="F161" s="40">
        <v>20107</v>
      </c>
      <c r="G161" s="40">
        <f t="shared" si="2"/>
        <v>255392.09000000037</v>
      </c>
    </row>
    <row r="162" spans="1:7" ht="9.9499999999999993" customHeight="1">
      <c r="A162" s="31">
        <v>210063481344</v>
      </c>
      <c r="B162" s="32" t="s">
        <v>74</v>
      </c>
      <c r="C162" s="33">
        <v>46097</v>
      </c>
      <c r="D162" s="32" t="s">
        <v>71</v>
      </c>
      <c r="E162" s="42">
        <v>-301.60000000000002</v>
      </c>
      <c r="F162" s="42">
        <v>0</v>
      </c>
      <c r="G162" s="40">
        <f t="shared" si="2"/>
        <v>255090.49000000037</v>
      </c>
    </row>
    <row r="163" spans="1:7" ht="9.9499999999999993" customHeight="1">
      <c r="A163" s="35">
        <v>677263542863</v>
      </c>
      <c r="B163" s="36" t="s">
        <v>72</v>
      </c>
      <c r="C163" s="28">
        <v>46097</v>
      </c>
      <c r="D163" s="37" t="s">
        <v>73</v>
      </c>
      <c r="E163" s="40">
        <v>0</v>
      </c>
      <c r="F163" s="40">
        <v>15450</v>
      </c>
      <c r="G163" s="40">
        <f t="shared" si="2"/>
        <v>270540.49000000034</v>
      </c>
    </row>
    <row r="164" spans="1:7" ht="9.9499999999999993" customHeight="1">
      <c r="A164" s="31">
        <v>210063542863</v>
      </c>
      <c r="B164" s="32" t="s">
        <v>74</v>
      </c>
      <c r="C164" s="33">
        <v>46097</v>
      </c>
      <c r="D164" s="32" t="s">
        <v>71</v>
      </c>
      <c r="E164" s="42">
        <v>-231.75</v>
      </c>
      <c r="F164" s="42">
        <v>0</v>
      </c>
      <c r="G164" s="40">
        <f t="shared" si="2"/>
        <v>270308.74000000034</v>
      </c>
    </row>
    <row r="165" spans="1:7" ht="9.9499999999999993" customHeight="1">
      <c r="A165" s="35">
        <v>329261437505</v>
      </c>
      <c r="B165" s="36" t="s">
        <v>96</v>
      </c>
      <c r="C165" s="28">
        <v>46097</v>
      </c>
      <c r="D165" s="36" t="s">
        <v>71</v>
      </c>
      <c r="E165" s="40">
        <v>-250000</v>
      </c>
      <c r="F165" s="40">
        <v>0</v>
      </c>
      <c r="G165" s="40">
        <f t="shared" si="2"/>
        <v>20308.74000000034</v>
      </c>
    </row>
    <row r="166" spans="1:7" ht="9.9499999999999993" customHeight="1">
      <c r="A166" s="31">
        <v>676261437505</v>
      </c>
      <c r="B166" s="32" t="s">
        <v>78</v>
      </c>
      <c r="C166" s="33">
        <v>46097</v>
      </c>
      <c r="D166" s="32" t="s">
        <v>71</v>
      </c>
      <c r="E166" s="42">
        <v>-625</v>
      </c>
      <c r="F166" s="42">
        <v>0</v>
      </c>
      <c r="G166" s="40">
        <f t="shared" si="2"/>
        <v>19683.74000000034</v>
      </c>
    </row>
    <row r="167" spans="1:7" ht="9.9499999999999993" customHeight="1">
      <c r="A167" s="35">
        <v>50951812083</v>
      </c>
      <c r="B167" s="36" t="s">
        <v>75</v>
      </c>
      <c r="C167" s="28">
        <v>46097</v>
      </c>
      <c r="D167" s="37" t="s">
        <v>73</v>
      </c>
      <c r="E167" s="40">
        <v>0</v>
      </c>
      <c r="F167" s="40">
        <v>13400</v>
      </c>
      <c r="G167" s="40">
        <f t="shared" si="2"/>
        <v>33083.74000000034</v>
      </c>
    </row>
    <row r="168" spans="1:7" ht="9.9499999999999993" customHeight="1">
      <c r="A168" s="31">
        <v>27251812083</v>
      </c>
      <c r="B168" s="32" t="s">
        <v>76</v>
      </c>
      <c r="C168" s="33">
        <v>46097</v>
      </c>
      <c r="D168" s="32" t="s">
        <v>71</v>
      </c>
      <c r="E168" s="42">
        <v>-201</v>
      </c>
      <c r="F168" s="42">
        <v>0</v>
      </c>
      <c r="G168" s="40">
        <f t="shared" si="2"/>
        <v>32882.74000000034</v>
      </c>
    </row>
    <row r="169" spans="1:7" ht="9.9499999999999993" customHeight="1">
      <c r="A169" s="35">
        <v>50907494978</v>
      </c>
      <c r="B169" s="36" t="s">
        <v>83</v>
      </c>
      <c r="C169" s="28">
        <v>46097</v>
      </c>
      <c r="D169" s="37" t="s">
        <v>73</v>
      </c>
      <c r="E169" s="40">
        <v>0</v>
      </c>
      <c r="F169" s="40">
        <v>22340.240000000002</v>
      </c>
      <c r="G169" s="40">
        <f t="shared" si="2"/>
        <v>55222.980000000345</v>
      </c>
    </row>
    <row r="170" spans="1:7" ht="9.9499999999999993" customHeight="1">
      <c r="A170" s="31">
        <v>27207494978</v>
      </c>
      <c r="B170" s="32" t="s">
        <v>76</v>
      </c>
      <c r="C170" s="33">
        <v>46097</v>
      </c>
      <c r="D170" s="32" t="s">
        <v>71</v>
      </c>
      <c r="E170" s="42">
        <v>-335.1</v>
      </c>
      <c r="F170" s="42">
        <v>0</v>
      </c>
      <c r="G170" s="40">
        <f t="shared" si="2"/>
        <v>54887.880000000347</v>
      </c>
    </row>
    <row r="171" spans="1:7" ht="9.9499999999999993" customHeight="1">
      <c r="A171" s="35">
        <v>50957543262</v>
      </c>
      <c r="B171" s="36" t="s">
        <v>81</v>
      </c>
      <c r="C171" s="28">
        <v>46097</v>
      </c>
      <c r="D171" s="37" t="s">
        <v>73</v>
      </c>
      <c r="E171" s="40">
        <v>0</v>
      </c>
      <c r="F171" s="40">
        <v>26808</v>
      </c>
      <c r="G171" s="40">
        <f t="shared" si="2"/>
        <v>81695.880000000354</v>
      </c>
    </row>
    <row r="172" spans="1:7" ht="9.9499999999999993" customHeight="1">
      <c r="A172" s="31">
        <v>27257543262</v>
      </c>
      <c r="B172" s="32" t="s">
        <v>76</v>
      </c>
      <c r="C172" s="33">
        <v>46097</v>
      </c>
      <c r="D172" s="32" t="s">
        <v>71</v>
      </c>
      <c r="E172" s="42">
        <v>-402.12</v>
      </c>
      <c r="F172" s="42">
        <v>0</v>
      </c>
      <c r="G172" s="40">
        <f t="shared" si="2"/>
        <v>81293.760000000359</v>
      </c>
    </row>
    <row r="173" spans="1:7" ht="9.9499999999999993" customHeight="1">
      <c r="A173" s="35">
        <v>50967632326</v>
      </c>
      <c r="B173" s="36" t="s">
        <v>97</v>
      </c>
      <c r="C173" s="28">
        <v>46098</v>
      </c>
      <c r="D173" s="37" t="s">
        <v>73</v>
      </c>
      <c r="E173" s="40">
        <v>0</v>
      </c>
      <c r="F173" s="40">
        <v>70300</v>
      </c>
      <c r="G173" s="40">
        <f t="shared" si="2"/>
        <v>151593.76000000036</v>
      </c>
    </row>
    <row r="174" spans="1:7" ht="9.9499999999999993" customHeight="1">
      <c r="A174" s="31">
        <v>27267632326</v>
      </c>
      <c r="B174" s="32" t="s">
        <v>76</v>
      </c>
      <c r="C174" s="33">
        <v>46098</v>
      </c>
      <c r="D174" s="32" t="s">
        <v>71</v>
      </c>
      <c r="E174" s="42">
        <v>-1054.5</v>
      </c>
      <c r="F174" s="42">
        <v>0</v>
      </c>
      <c r="G174" s="40">
        <f t="shared" si="2"/>
        <v>150539.26000000036</v>
      </c>
    </row>
    <row r="175" spans="1:7" ht="9.9499999999999993" customHeight="1">
      <c r="A175" s="35">
        <v>50969660769</v>
      </c>
      <c r="B175" s="36" t="s">
        <v>81</v>
      </c>
      <c r="C175" s="28">
        <v>46098</v>
      </c>
      <c r="D175" s="37" t="s">
        <v>73</v>
      </c>
      <c r="E175" s="40">
        <v>0</v>
      </c>
      <c r="F175" s="40">
        <v>26902.2</v>
      </c>
      <c r="G175" s="40">
        <f t="shared" si="2"/>
        <v>177441.46000000037</v>
      </c>
    </row>
    <row r="176" spans="1:7" ht="9.9499999999999993" customHeight="1">
      <c r="A176" s="31">
        <v>27269660769</v>
      </c>
      <c r="B176" s="32" t="s">
        <v>76</v>
      </c>
      <c r="C176" s="33">
        <v>46098</v>
      </c>
      <c r="D176" s="32" t="s">
        <v>71</v>
      </c>
      <c r="E176" s="42">
        <v>-403.53</v>
      </c>
      <c r="F176" s="42">
        <v>0</v>
      </c>
      <c r="G176" s="40">
        <f t="shared" si="2"/>
        <v>177037.93000000037</v>
      </c>
    </row>
    <row r="177" spans="1:7" ht="9.9499999999999993" customHeight="1">
      <c r="A177" s="35">
        <v>50952050863</v>
      </c>
      <c r="B177" s="36" t="s">
        <v>75</v>
      </c>
      <c r="C177" s="28">
        <v>46098</v>
      </c>
      <c r="D177" s="37" t="s">
        <v>73</v>
      </c>
      <c r="E177" s="40">
        <v>0</v>
      </c>
      <c r="F177" s="40">
        <v>24200</v>
      </c>
      <c r="G177" s="40">
        <f t="shared" si="2"/>
        <v>201237.93000000037</v>
      </c>
    </row>
    <row r="178" spans="1:7" ht="9.9499999999999993" customHeight="1">
      <c r="A178" s="31">
        <v>27252050863</v>
      </c>
      <c r="B178" s="32" t="s">
        <v>76</v>
      </c>
      <c r="C178" s="33">
        <v>46098</v>
      </c>
      <c r="D178" s="32" t="s">
        <v>71</v>
      </c>
      <c r="E178" s="42">
        <v>-363</v>
      </c>
      <c r="F178" s="42">
        <v>0</v>
      </c>
      <c r="G178" s="40">
        <f t="shared" si="2"/>
        <v>200874.93000000037</v>
      </c>
    </row>
    <row r="179" spans="1:7" ht="9.9499999999999993" customHeight="1">
      <c r="A179" s="35">
        <v>677266461611</v>
      </c>
      <c r="B179" s="36" t="s">
        <v>72</v>
      </c>
      <c r="C179" s="28">
        <v>46098</v>
      </c>
      <c r="D179" s="37" t="s">
        <v>73</v>
      </c>
      <c r="E179" s="40">
        <v>0</v>
      </c>
      <c r="F179" s="40">
        <v>22418.43</v>
      </c>
      <c r="G179" s="40">
        <f t="shared" si="2"/>
        <v>223293.36000000036</v>
      </c>
    </row>
    <row r="180" spans="1:7" ht="9.9499999999999993" customHeight="1">
      <c r="A180" s="31">
        <v>210066461611</v>
      </c>
      <c r="B180" s="32" t="s">
        <v>74</v>
      </c>
      <c r="C180" s="33">
        <v>46098</v>
      </c>
      <c r="D180" s="32" t="s">
        <v>71</v>
      </c>
      <c r="E180" s="42">
        <v>-336.28</v>
      </c>
      <c r="F180" s="42">
        <v>0</v>
      </c>
      <c r="G180" s="40">
        <f t="shared" si="2"/>
        <v>222957.08000000037</v>
      </c>
    </row>
    <row r="181" spans="1:7" ht="9.9499999999999993" customHeight="1">
      <c r="A181" s="35">
        <v>329265094704</v>
      </c>
      <c r="B181" s="36" t="s">
        <v>98</v>
      </c>
      <c r="C181" s="28">
        <v>46099</v>
      </c>
      <c r="D181" s="36" t="s">
        <v>71</v>
      </c>
      <c r="E181" s="40">
        <v>-40000</v>
      </c>
      <c r="F181" s="40">
        <v>0</v>
      </c>
      <c r="G181" s="40">
        <f t="shared" si="2"/>
        <v>182957.08000000037</v>
      </c>
    </row>
    <row r="182" spans="1:7" ht="9.9499999999999993" customHeight="1">
      <c r="A182" s="31">
        <v>676265094704</v>
      </c>
      <c r="B182" s="32" t="s">
        <v>78</v>
      </c>
      <c r="C182" s="33">
        <v>46099</v>
      </c>
      <c r="D182" s="32" t="s">
        <v>71</v>
      </c>
      <c r="E182" s="42">
        <v>-100</v>
      </c>
      <c r="F182" s="42">
        <v>0</v>
      </c>
      <c r="G182" s="40">
        <f t="shared" si="2"/>
        <v>182857.08000000037</v>
      </c>
    </row>
    <row r="183" spans="1:7" ht="9.9499999999999993" customHeight="1">
      <c r="A183" s="35">
        <v>329265174274</v>
      </c>
      <c r="B183" s="36" t="s">
        <v>99</v>
      </c>
      <c r="C183" s="28">
        <v>46099</v>
      </c>
      <c r="D183" s="36" t="s">
        <v>71</v>
      </c>
      <c r="E183" s="40">
        <v>-20000</v>
      </c>
      <c r="F183" s="40">
        <v>0</v>
      </c>
      <c r="G183" s="40">
        <f t="shared" si="2"/>
        <v>162857.08000000037</v>
      </c>
    </row>
    <row r="184" spans="1:7" ht="9.9499999999999993" customHeight="1">
      <c r="A184" s="31">
        <v>676265174274</v>
      </c>
      <c r="B184" s="32" t="s">
        <v>78</v>
      </c>
      <c r="C184" s="33">
        <v>46099</v>
      </c>
      <c r="D184" s="32" t="s">
        <v>71</v>
      </c>
      <c r="E184" s="42">
        <v>-50</v>
      </c>
      <c r="F184" s="42">
        <v>0</v>
      </c>
      <c r="G184" s="40">
        <f t="shared" si="2"/>
        <v>162807.08000000037</v>
      </c>
    </row>
    <row r="185" spans="1:7" ht="9.9499999999999993" customHeight="1">
      <c r="A185" s="35">
        <v>677268391043</v>
      </c>
      <c r="B185" s="36" t="s">
        <v>72</v>
      </c>
      <c r="C185" s="28">
        <v>46099</v>
      </c>
      <c r="D185" s="37" t="s">
        <v>73</v>
      </c>
      <c r="E185" s="40">
        <v>0</v>
      </c>
      <c r="F185" s="40">
        <v>6773</v>
      </c>
      <c r="G185" s="40">
        <f t="shared" si="2"/>
        <v>169580.08000000037</v>
      </c>
    </row>
    <row r="186" spans="1:7" ht="9.9499999999999993" customHeight="1">
      <c r="A186" s="31">
        <v>210068391043</v>
      </c>
      <c r="B186" s="32" t="s">
        <v>74</v>
      </c>
      <c r="C186" s="33">
        <v>46099</v>
      </c>
      <c r="D186" s="32" t="s">
        <v>71</v>
      </c>
      <c r="E186" s="42">
        <v>-101.6</v>
      </c>
      <c r="F186" s="42">
        <v>0</v>
      </c>
      <c r="G186" s="40">
        <f t="shared" si="2"/>
        <v>169478.48000000036</v>
      </c>
    </row>
    <row r="187" spans="1:7" ht="9.9499999999999993" customHeight="1">
      <c r="A187" s="35">
        <v>50909299668</v>
      </c>
      <c r="B187" s="36" t="s">
        <v>83</v>
      </c>
      <c r="C187" s="28">
        <v>46099</v>
      </c>
      <c r="D187" s="37" t="s">
        <v>73</v>
      </c>
      <c r="E187" s="40">
        <v>0</v>
      </c>
      <c r="F187" s="40">
        <v>18060.29</v>
      </c>
      <c r="G187" s="40">
        <f t="shared" si="2"/>
        <v>187538.77000000037</v>
      </c>
    </row>
    <row r="188" spans="1:7" ht="9.9499999999999993" customHeight="1">
      <c r="A188" s="31">
        <v>27209299668</v>
      </c>
      <c r="B188" s="32" t="s">
        <v>76</v>
      </c>
      <c r="C188" s="33">
        <v>46099</v>
      </c>
      <c r="D188" s="32" t="s">
        <v>71</v>
      </c>
      <c r="E188" s="42">
        <v>-270.89999999999998</v>
      </c>
      <c r="F188" s="42">
        <v>0</v>
      </c>
      <c r="G188" s="40">
        <f t="shared" si="2"/>
        <v>187267.87000000037</v>
      </c>
    </row>
    <row r="189" spans="1:7" ht="9.9499999999999993" customHeight="1">
      <c r="A189" s="35">
        <v>50952433207</v>
      </c>
      <c r="B189" s="36" t="s">
        <v>75</v>
      </c>
      <c r="C189" s="28">
        <v>46100</v>
      </c>
      <c r="D189" s="37" t="s">
        <v>73</v>
      </c>
      <c r="E189" s="40">
        <v>0</v>
      </c>
      <c r="F189" s="40">
        <v>22765</v>
      </c>
      <c r="G189" s="40">
        <f t="shared" si="2"/>
        <v>210032.87000000037</v>
      </c>
    </row>
    <row r="190" spans="1:7" ht="9.9499999999999993" customHeight="1">
      <c r="A190" s="31">
        <v>27252433207</v>
      </c>
      <c r="B190" s="32" t="s">
        <v>76</v>
      </c>
      <c r="C190" s="33">
        <v>46100</v>
      </c>
      <c r="D190" s="32" t="s">
        <v>71</v>
      </c>
      <c r="E190" s="42">
        <v>-341.47</v>
      </c>
      <c r="F190" s="42">
        <v>0</v>
      </c>
      <c r="G190" s="40">
        <f t="shared" si="2"/>
        <v>209691.40000000037</v>
      </c>
    </row>
    <row r="191" spans="1:7" ht="9.9499999999999993" customHeight="1">
      <c r="A191" s="35">
        <v>329265207931</v>
      </c>
      <c r="B191" s="36" t="s">
        <v>100</v>
      </c>
      <c r="C191" s="28">
        <v>46100</v>
      </c>
      <c r="D191" s="36" t="s">
        <v>71</v>
      </c>
      <c r="E191" s="40">
        <v>-50000</v>
      </c>
      <c r="F191" s="40">
        <v>0</v>
      </c>
      <c r="G191" s="40">
        <f t="shared" si="2"/>
        <v>159691.40000000037</v>
      </c>
    </row>
    <row r="192" spans="1:7" ht="9.9499999999999993" customHeight="1">
      <c r="A192" s="31">
        <v>676265207931</v>
      </c>
      <c r="B192" s="32" t="s">
        <v>78</v>
      </c>
      <c r="C192" s="33">
        <v>46100</v>
      </c>
      <c r="D192" s="32" t="s">
        <v>71</v>
      </c>
      <c r="E192" s="42">
        <v>-125</v>
      </c>
      <c r="F192" s="42">
        <v>0</v>
      </c>
      <c r="G192" s="40">
        <f t="shared" si="2"/>
        <v>159566.40000000037</v>
      </c>
    </row>
    <row r="193" spans="1:7" ht="9.9499999999999993" customHeight="1">
      <c r="A193" s="35">
        <v>677269334850</v>
      </c>
      <c r="B193" s="36" t="s">
        <v>72</v>
      </c>
      <c r="C193" s="28">
        <v>46100</v>
      </c>
      <c r="D193" s="37" t="s">
        <v>73</v>
      </c>
      <c r="E193" s="40">
        <v>0</v>
      </c>
      <c r="F193" s="40">
        <v>9031</v>
      </c>
      <c r="G193" s="40">
        <f t="shared" si="2"/>
        <v>168597.40000000037</v>
      </c>
    </row>
    <row r="194" spans="1:7" ht="9.9499999999999993" customHeight="1">
      <c r="A194" s="31">
        <v>210069334850</v>
      </c>
      <c r="B194" s="32" t="s">
        <v>74</v>
      </c>
      <c r="C194" s="33">
        <v>46100</v>
      </c>
      <c r="D194" s="32" t="s">
        <v>71</v>
      </c>
      <c r="E194" s="42">
        <v>-135.47</v>
      </c>
      <c r="F194" s="42">
        <v>0</v>
      </c>
      <c r="G194" s="40">
        <f t="shared" si="2"/>
        <v>168461.93000000037</v>
      </c>
    </row>
    <row r="195" spans="1:7" ht="9.9499999999999993" customHeight="1">
      <c r="A195" s="35">
        <v>329265297888</v>
      </c>
      <c r="B195" s="36" t="s">
        <v>101</v>
      </c>
      <c r="C195" s="28">
        <v>46100</v>
      </c>
      <c r="D195" s="36" t="s">
        <v>71</v>
      </c>
      <c r="E195" s="40">
        <v>-20000</v>
      </c>
      <c r="F195" s="40">
        <v>0</v>
      </c>
      <c r="G195" s="40">
        <f t="shared" si="2"/>
        <v>148461.93000000037</v>
      </c>
    </row>
    <row r="196" spans="1:7" ht="9.9499999999999993" customHeight="1">
      <c r="A196" s="31">
        <v>676265297888</v>
      </c>
      <c r="B196" s="32" t="s">
        <v>78</v>
      </c>
      <c r="C196" s="33">
        <v>46100</v>
      </c>
      <c r="D196" s="32" t="s">
        <v>71</v>
      </c>
      <c r="E196" s="42">
        <v>-50</v>
      </c>
      <c r="F196" s="42">
        <v>0</v>
      </c>
      <c r="G196" s="40">
        <f t="shared" si="2"/>
        <v>148411.93000000037</v>
      </c>
    </row>
    <row r="197" spans="1:7" ht="9.9499999999999993" customHeight="1">
      <c r="A197" s="35">
        <v>50952619306</v>
      </c>
      <c r="B197" s="36" t="s">
        <v>75</v>
      </c>
      <c r="C197" s="28">
        <v>46100</v>
      </c>
      <c r="D197" s="37" t="s">
        <v>73</v>
      </c>
      <c r="E197" s="40">
        <v>0</v>
      </c>
      <c r="F197" s="40">
        <v>22760</v>
      </c>
      <c r="G197" s="40">
        <f t="shared" si="2"/>
        <v>171171.93000000037</v>
      </c>
    </row>
    <row r="198" spans="1:7" ht="9.9499999999999993" customHeight="1">
      <c r="A198" s="31">
        <v>27252619306</v>
      </c>
      <c r="B198" s="32" t="s">
        <v>76</v>
      </c>
      <c r="C198" s="33">
        <v>46100</v>
      </c>
      <c r="D198" s="32" t="s">
        <v>71</v>
      </c>
      <c r="E198" s="42">
        <v>-341.4</v>
      </c>
      <c r="F198" s="42">
        <v>0</v>
      </c>
      <c r="G198" s="40">
        <f t="shared" ref="G198:G261" si="3">G197+E198+F198</f>
        <v>170830.53000000038</v>
      </c>
    </row>
    <row r="199" spans="1:7" ht="9.9499999999999993" customHeight="1">
      <c r="A199" s="35">
        <v>50910146543</v>
      </c>
      <c r="B199" s="36" t="s">
        <v>83</v>
      </c>
      <c r="C199" s="28">
        <v>46100</v>
      </c>
      <c r="D199" s="37" t="s">
        <v>73</v>
      </c>
      <c r="E199" s="40">
        <v>0</v>
      </c>
      <c r="F199" s="40">
        <v>22762.74</v>
      </c>
      <c r="G199" s="40">
        <f t="shared" si="3"/>
        <v>193593.27000000037</v>
      </c>
    </row>
    <row r="200" spans="1:7" ht="9.9499999999999993" customHeight="1">
      <c r="A200" s="31">
        <v>27210146543</v>
      </c>
      <c r="B200" s="32" t="s">
        <v>76</v>
      </c>
      <c r="C200" s="33">
        <v>46100</v>
      </c>
      <c r="D200" s="32" t="s">
        <v>71</v>
      </c>
      <c r="E200" s="42">
        <v>-341.44</v>
      </c>
      <c r="F200" s="42">
        <v>0</v>
      </c>
      <c r="G200" s="40">
        <f t="shared" si="3"/>
        <v>193251.83000000037</v>
      </c>
    </row>
    <row r="201" spans="1:7" ht="9.9499999999999993" customHeight="1">
      <c r="A201" s="35">
        <v>677270880724</v>
      </c>
      <c r="B201" s="36" t="s">
        <v>72</v>
      </c>
      <c r="C201" s="28">
        <v>46101</v>
      </c>
      <c r="D201" s="37" t="s">
        <v>73</v>
      </c>
      <c r="E201" s="40">
        <v>0</v>
      </c>
      <c r="F201" s="40">
        <v>2550</v>
      </c>
      <c r="G201" s="40">
        <f t="shared" si="3"/>
        <v>195801.83000000037</v>
      </c>
    </row>
    <row r="202" spans="1:7" ht="9.9499999999999993" customHeight="1">
      <c r="A202" s="31">
        <v>210070880724</v>
      </c>
      <c r="B202" s="32" t="s">
        <v>74</v>
      </c>
      <c r="C202" s="33">
        <v>46101</v>
      </c>
      <c r="D202" s="32" t="s">
        <v>71</v>
      </c>
      <c r="E202" s="42">
        <v>-38.25</v>
      </c>
      <c r="F202" s="42">
        <v>0</v>
      </c>
      <c r="G202" s="40">
        <f t="shared" si="3"/>
        <v>195763.58000000037</v>
      </c>
    </row>
    <row r="203" spans="1:7" ht="9.9499999999999993" customHeight="1">
      <c r="A203" s="35">
        <v>677271532791</v>
      </c>
      <c r="B203" s="36" t="s">
        <v>72</v>
      </c>
      <c r="C203" s="28">
        <v>46101</v>
      </c>
      <c r="D203" s="37" t="s">
        <v>73</v>
      </c>
      <c r="E203" s="40">
        <v>0</v>
      </c>
      <c r="F203" s="40">
        <v>9106</v>
      </c>
      <c r="G203" s="40">
        <f t="shared" si="3"/>
        <v>204869.58000000037</v>
      </c>
    </row>
    <row r="204" spans="1:7" ht="9.9499999999999993" customHeight="1">
      <c r="A204" s="31">
        <v>210071532791</v>
      </c>
      <c r="B204" s="32" t="s">
        <v>74</v>
      </c>
      <c r="C204" s="33">
        <v>46101</v>
      </c>
      <c r="D204" s="32" t="s">
        <v>71</v>
      </c>
      <c r="E204" s="42">
        <v>-136.59</v>
      </c>
      <c r="F204" s="42">
        <v>0</v>
      </c>
      <c r="G204" s="40">
        <f t="shared" si="3"/>
        <v>204732.99000000037</v>
      </c>
    </row>
    <row r="205" spans="1:7" ht="9.9499999999999993" customHeight="1">
      <c r="A205" s="35">
        <v>677271765701</v>
      </c>
      <c r="B205" s="36" t="s">
        <v>85</v>
      </c>
      <c r="C205" s="28">
        <v>46101</v>
      </c>
      <c r="D205" s="37" t="s">
        <v>73</v>
      </c>
      <c r="E205" s="40">
        <v>0</v>
      </c>
      <c r="F205" s="40">
        <v>91050.94</v>
      </c>
      <c r="G205" s="40">
        <f t="shared" si="3"/>
        <v>295783.9300000004</v>
      </c>
    </row>
    <row r="206" spans="1:7" ht="9.9499999999999993" customHeight="1">
      <c r="A206" s="31">
        <v>210071765701</v>
      </c>
      <c r="B206" s="32" t="s">
        <v>74</v>
      </c>
      <c r="C206" s="33">
        <v>46101</v>
      </c>
      <c r="D206" s="32" t="s">
        <v>71</v>
      </c>
      <c r="E206" s="42">
        <v>-1365.76</v>
      </c>
      <c r="F206" s="42">
        <v>0</v>
      </c>
      <c r="G206" s="40">
        <f t="shared" si="3"/>
        <v>294418.17000000039</v>
      </c>
    </row>
    <row r="207" spans="1:7" ht="9.9499999999999993" customHeight="1">
      <c r="A207" s="35">
        <v>50952858082</v>
      </c>
      <c r="B207" s="36" t="s">
        <v>75</v>
      </c>
      <c r="C207" s="28">
        <v>46101</v>
      </c>
      <c r="D207" s="37" t="s">
        <v>73</v>
      </c>
      <c r="E207" s="40">
        <v>0</v>
      </c>
      <c r="F207" s="40">
        <v>18210</v>
      </c>
      <c r="G207" s="40">
        <f t="shared" si="3"/>
        <v>312628.17000000039</v>
      </c>
    </row>
    <row r="208" spans="1:7" ht="9.9499999999999993" customHeight="1">
      <c r="A208" s="31">
        <v>27252858082</v>
      </c>
      <c r="B208" s="32" t="s">
        <v>76</v>
      </c>
      <c r="C208" s="33">
        <v>46101</v>
      </c>
      <c r="D208" s="32" t="s">
        <v>71</v>
      </c>
      <c r="E208" s="42">
        <v>-273.14999999999998</v>
      </c>
      <c r="F208" s="42">
        <v>0</v>
      </c>
      <c r="G208" s="40">
        <f t="shared" si="3"/>
        <v>312355.02000000037</v>
      </c>
    </row>
    <row r="209" spans="1:7" ht="9.9499999999999993" customHeight="1">
      <c r="A209" s="35">
        <v>50910802528</v>
      </c>
      <c r="B209" s="36" t="s">
        <v>83</v>
      </c>
      <c r="C209" s="28">
        <v>46101</v>
      </c>
      <c r="D209" s="37" t="s">
        <v>73</v>
      </c>
      <c r="E209" s="40">
        <v>0</v>
      </c>
      <c r="F209" s="40">
        <v>27315.279999999999</v>
      </c>
      <c r="G209" s="40">
        <f t="shared" si="3"/>
        <v>339670.3000000004</v>
      </c>
    </row>
    <row r="210" spans="1:7" ht="9.9499999999999993" customHeight="1">
      <c r="A210" s="31">
        <v>27210802528</v>
      </c>
      <c r="B210" s="32" t="s">
        <v>76</v>
      </c>
      <c r="C210" s="33">
        <v>46101</v>
      </c>
      <c r="D210" s="32" t="s">
        <v>71</v>
      </c>
      <c r="E210" s="42">
        <v>-409.73</v>
      </c>
      <c r="F210" s="42">
        <v>0</v>
      </c>
      <c r="G210" s="40">
        <f t="shared" si="3"/>
        <v>339260.57000000041</v>
      </c>
    </row>
    <row r="211" spans="1:7" ht="9.9499999999999993" customHeight="1">
      <c r="A211" s="35">
        <v>677273108743</v>
      </c>
      <c r="B211" s="36" t="s">
        <v>102</v>
      </c>
      <c r="C211" s="28">
        <v>46102</v>
      </c>
      <c r="D211" s="37" t="s">
        <v>73</v>
      </c>
      <c r="E211" s="40">
        <v>0</v>
      </c>
      <c r="F211" s="40">
        <v>58500</v>
      </c>
      <c r="G211" s="40">
        <f t="shared" si="3"/>
        <v>397760.57000000041</v>
      </c>
    </row>
    <row r="212" spans="1:7" ht="9.9499999999999993" customHeight="1">
      <c r="A212" s="31">
        <v>210073108743</v>
      </c>
      <c r="B212" s="32" t="s">
        <v>74</v>
      </c>
      <c r="C212" s="33">
        <v>46102</v>
      </c>
      <c r="D212" s="32" t="s">
        <v>71</v>
      </c>
      <c r="E212" s="42">
        <v>-877.5</v>
      </c>
      <c r="F212" s="42">
        <v>0</v>
      </c>
      <c r="G212" s="40">
        <f t="shared" si="3"/>
        <v>396883.07000000041</v>
      </c>
    </row>
    <row r="213" spans="1:7" ht="9.9499999999999993" customHeight="1">
      <c r="A213" s="35">
        <v>329265630825</v>
      </c>
      <c r="B213" s="36" t="s">
        <v>103</v>
      </c>
      <c r="C213" s="28">
        <v>46102</v>
      </c>
      <c r="D213" s="36" t="s">
        <v>71</v>
      </c>
      <c r="E213" s="40">
        <v>-20000</v>
      </c>
      <c r="F213" s="40">
        <v>0</v>
      </c>
      <c r="G213" s="40">
        <f t="shared" si="3"/>
        <v>376883.07000000041</v>
      </c>
    </row>
    <row r="214" spans="1:7" ht="9.9499999999999993" customHeight="1">
      <c r="A214" s="31">
        <v>676265630825</v>
      </c>
      <c r="B214" s="32" t="s">
        <v>78</v>
      </c>
      <c r="C214" s="33">
        <v>46102</v>
      </c>
      <c r="D214" s="32" t="s">
        <v>71</v>
      </c>
      <c r="E214" s="42">
        <v>-50</v>
      </c>
      <c r="F214" s="42">
        <v>0</v>
      </c>
      <c r="G214" s="40">
        <f t="shared" si="3"/>
        <v>376833.07000000041</v>
      </c>
    </row>
    <row r="215" spans="1:7" ht="9.9499999999999993" customHeight="1">
      <c r="A215" s="35">
        <v>677273752058</v>
      </c>
      <c r="B215" s="36" t="s">
        <v>72</v>
      </c>
      <c r="C215" s="28">
        <v>46102</v>
      </c>
      <c r="D215" s="37" t="s">
        <v>73</v>
      </c>
      <c r="E215" s="40">
        <v>0</v>
      </c>
      <c r="F215" s="40">
        <v>13658</v>
      </c>
      <c r="G215" s="40">
        <f t="shared" si="3"/>
        <v>390491.07000000041</v>
      </c>
    </row>
    <row r="216" spans="1:7" ht="9.9499999999999993" customHeight="1">
      <c r="A216" s="31">
        <v>210073752058</v>
      </c>
      <c r="B216" s="32" t="s">
        <v>74</v>
      </c>
      <c r="C216" s="33">
        <v>46102</v>
      </c>
      <c r="D216" s="32" t="s">
        <v>71</v>
      </c>
      <c r="E216" s="42">
        <v>-204.87</v>
      </c>
      <c r="F216" s="42">
        <v>0</v>
      </c>
      <c r="G216" s="40">
        <f t="shared" si="3"/>
        <v>390286.20000000042</v>
      </c>
    </row>
    <row r="217" spans="1:7" ht="9.9499999999999993" customHeight="1">
      <c r="A217" s="35">
        <v>329265639202</v>
      </c>
      <c r="B217" s="36" t="s">
        <v>104</v>
      </c>
      <c r="C217" s="28">
        <v>46102</v>
      </c>
      <c r="D217" s="36" t="s">
        <v>71</v>
      </c>
      <c r="E217" s="40">
        <v>-25000</v>
      </c>
      <c r="F217" s="40">
        <v>0</v>
      </c>
      <c r="G217" s="40">
        <f t="shared" si="3"/>
        <v>365286.20000000042</v>
      </c>
    </row>
    <row r="218" spans="1:7" ht="9.9499999999999993" customHeight="1">
      <c r="A218" s="31">
        <v>676265639202</v>
      </c>
      <c r="B218" s="32" t="s">
        <v>78</v>
      </c>
      <c r="C218" s="33">
        <v>46102</v>
      </c>
      <c r="D218" s="32" t="s">
        <v>71</v>
      </c>
      <c r="E218" s="42">
        <v>-62.5</v>
      </c>
      <c r="F218" s="42">
        <v>0</v>
      </c>
      <c r="G218" s="40">
        <f t="shared" si="3"/>
        <v>365223.70000000042</v>
      </c>
    </row>
    <row r="219" spans="1:7" ht="9.9499999999999993" customHeight="1">
      <c r="A219" s="35">
        <v>677274269465</v>
      </c>
      <c r="B219" s="36" t="s">
        <v>85</v>
      </c>
      <c r="C219" s="28">
        <v>46102</v>
      </c>
      <c r="D219" s="37" t="s">
        <v>73</v>
      </c>
      <c r="E219" s="40">
        <v>0</v>
      </c>
      <c r="F219" s="40">
        <v>41136.81</v>
      </c>
      <c r="G219" s="40">
        <f t="shared" si="3"/>
        <v>406360.51000000042</v>
      </c>
    </row>
    <row r="220" spans="1:7" ht="9.9499999999999993" customHeight="1">
      <c r="A220" s="31">
        <v>210074269465</v>
      </c>
      <c r="B220" s="32" t="s">
        <v>74</v>
      </c>
      <c r="C220" s="33">
        <v>46102</v>
      </c>
      <c r="D220" s="32" t="s">
        <v>71</v>
      </c>
      <c r="E220" s="42">
        <v>-617.04999999999995</v>
      </c>
      <c r="F220" s="42">
        <v>0</v>
      </c>
      <c r="G220" s="40">
        <f t="shared" si="3"/>
        <v>405743.46000000043</v>
      </c>
    </row>
    <row r="221" spans="1:7" ht="9.9499999999999993" customHeight="1">
      <c r="A221" s="35">
        <v>50912000948</v>
      </c>
      <c r="B221" s="36" t="s">
        <v>83</v>
      </c>
      <c r="C221" s="28">
        <v>46102</v>
      </c>
      <c r="D221" s="37" t="s">
        <v>73</v>
      </c>
      <c r="E221" s="40">
        <v>0</v>
      </c>
      <c r="F221" s="40">
        <v>22853.78</v>
      </c>
      <c r="G221" s="40">
        <f t="shared" si="3"/>
        <v>428597.24000000046</v>
      </c>
    </row>
    <row r="222" spans="1:7" ht="9.9499999999999993" customHeight="1">
      <c r="A222" s="31">
        <v>27212000948</v>
      </c>
      <c r="B222" s="32" t="s">
        <v>76</v>
      </c>
      <c r="C222" s="33">
        <v>46102</v>
      </c>
      <c r="D222" s="32" t="s">
        <v>71</v>
      </c>
      <c r="E222" s="42">
        <v>-342.81</v>
      </c>
      <c r="F222" s="42">
        <v>0</v>
      </c>
      <c r="G222" s="40">
        <f t="shared" si="3"/>
        <v>428254.43000000046</v>
      </c>
    </row>
    <row r="223" spans="1:7" ht="9.9499999999999993" customHeight="1">
      <c r="A223" s="35">
        <v>329265655733</v>
      </c>
      <c r="B223" s="36" t="s">
        <v>105</v>
      </c>
      <c r="C223" s="28">
        <v>46103</v>
      </c>
      <c r="D223" s="36" t="s">
        <v>71</v>
      </c>
      <c r="E223" s="40">
        <v>-200000</v>
      </c>
      <c r="F223" s="40">
        <v>0</v>
      </c>
      <c r="G223" s="40">
        <f t="shared" si="3"/>
        <v>228254.43000000046</v>
      </c>
    </row>
    <row r="224" spans="1:7" ht="9.9499999999999993" customHeight="1">
      <c r="A224" s="31">
        <v>676265655733</v>
      </c>
      <c r="B224" s="32" t="s">
        <v>78</v>
      </c>
      <c r="C224" s="33">
        <v>46103</v>
      </c>
      <c r="D224" s="32" t="s">
        <v>71</v>
      </c>
      <c r="E224" s="42">
        <v>-500</v>
      </c>
      <c r="F224" s="42">
        <v>0</v>
      </c>
      <c r="G224" s="40">
        <f t="shared" si="3"/>
        <v>227754.43000000046</v>
      </c>
    </row>
    <row r="225" spans="1:7" ht="9.9499999999999993" customHeight="1">
      <c r="A225" s="35">
        <v>50915142846</v>
      </c>
      <c r="B225" s="36" t="s">
        <v>81</v>
      </c>
      <c r="C225" s="28">
        <v>46103</v>
      </c>
      <c r="D225" s="37" t="s">
        <v>73</v>
      </c>
      <c r="E225" s="40">
        <v>0</v>
      </c>
      <c r="F225" s="40">
        <v>32452.68</v>
      </c>
      <c r="G225" s="40">
        <f t="shared" si="3"/>
        <v>260207.11000000045</v>
      </c>
    </row>
    <row r="226" spans="1:7" ht="9.9499999999999993" customHeight="1">
      <c r="A226" s="31">
        <v>27215142846</v>
      </c>
      <c r="B226" s="32" t="s">
        <v>76</v>
      </c>
      <c r="C226" s="33">
        <v>46103</v>
      </c>
      <c r="D226" s="32" t="s">
        <v>71</v>
      </c>
      <c r="E226" s="42">
        <v>-486.79</v>
      </c>
      <c r="F226" s="42">
        <v>0</v>
      </c>
      <c r="G226" s="40">
        <f t="shared" si="3"/>
        <v>259720.32000000044</v>
      </c>
    </row>
    <row r="227" spans="1:7" ht="9.9499999999999993" customHeight="1">
      <c r="A227" s="35">
        <v>50953406718</v>
      </c>
      <c r="B227" s="36" t="s">
        <v>75</v>
      </c>
      <c r="C227" s="28">
        <v>46103</v>
      </c>
      <c r="D227" s="37" t="s">
        <v>73</v>
      </c>
      <c r="E227" s="40">
        <v>0</v>
      </c>
      <c r="F227" s="40">
        <v>915</v>
      </c>
      <c r="G227" s="40">
        <f t="shared" si="3"/>
        <v>260635.32000000044</v>
      </c>
    </row>
    <row r="228" spans="1:7" ht="9.9499999999999993" customHeight="1">
      <c r="A228" s="31">
        <v>27253406718</v>
      </c>
      <c r="B228" s="32" t="s">
        <v>76</v>
      </c>
      <c r="C228" s="33">
        <v>46103</v>
      </c>
      <c r="D228" s="32" t="s">
        <v>71</v>
      </c>
      <c r="E228" s="42">
        <v>-13.73</v>
      </c>
      <c r="F228" s="42">
        <v>0</v>
      </c>
      <c r="G228" s="40">
        <f t="shared" si="3"/>
        <v>260621.59000000043</v>
      </c>
    </row>
    <row r="229" spans="1:7" ht="9.9499999999999993" customHeight="1">
      <c r="A229" s="35">
        <v>50916289365</v>
      </c>
      <c r="B229" s="36" t="s">
        <v>97</v>
      </c>
      <c r="C229" s="28">
        <v>46103</v>
      </c>
      <c r="D229" s="37" t="s">
        <v>73</v>
      </c>
      <c r="E229" s="40">
        <v>0</v>
      </c>
      <c r="F229" s="40">
        <v>31200</v>
      </c>
      <c r="G229" s="40">
        <f t="shared" si="3"/>
        <v>291821.59000000043</v>
      </c>
    </row>
    <row r="230" spans="1:7" ht="9.9499999999999993" customHeight="1">
      <c r="A230" s="31">
        <v>27216289365</v>
      </c>
      <c r="B230" s="32" t="s">
        <v>76</v>
      </c>
      <c r="C230" s="33">
        <v>46103</v>
      </c>
      <c r="D230" s="32" t="s">
        <v>71</v>
      </c>
      <c r="E230" s="42">
        <v>-468</v>
      </c>
      <c r="F230" s="42">
        <v>0</v>
      </c>
      <c r="G230" s="40">
        <f t="shared" si="3"/>
        <v>291353.59000000043</v>
      </c>
    </row>
    <row r="231" spans="1:7" ht="9.9499999999999993" customHeight="1">
      <c r="A231" s="35">
        <v>50916370331</v>
      </c>
      <c r="B231" s="36" t="s">
        <v>81</v>
      </c>
      <c r="C231" s="28">
        <v>46103</v>
      </c>
      <c r="D231" s="37" t="s">
        <v>73</v>
      </c>
      <c r="E231" s="40">
        <v>0</v>
      </c>
      <c r="F231" s="40">
        <v>22854</v>
      </c>
      <c r="G231" s="40">
        <f t="shared" si="3"/>
        <v>314207.59000000043</v>
      </c>
    </row>
    <row r="232" spans="1:7" ht="9.9499999999999993" customHeight="1">
      <c r="A232" s="31">
        <v>27216370331</v>
      </c>
      <c r="B232" s="32" t="s">
        <v>76</v>
      </c>
      <c r="C232" s="33">
        <v>46103</v>
      </c>
      <c r="D232" s="32" t="s">
        <v>71</v>
      </c>
      <c r="E232" s="42">
        <v>-342.81</v>
      </c>
      <c r="F232" s="42">
        <v>0</v>
      </c>
      <c r="G232" s="40">
        <f t="shared" si="3"/>
        <v>313864.78000000044</v>
      </c>
    </row>
    <row r="233" spans="1:7" ht="9.9499999999999993" customHeight="1">
      <c r="A233" s="35">
        <v>50912816937</v>
      </c>
      <c r="B233" s="36" t="s">
        <v>83</v>
      </c>
      <c r="C233" s="28">
        <v>46103</v>
      </c>
      <c r="D233" s="37" t="s">
        <v>73</v>
      </c>
      <c r="E233" s="40">
        <v>0</v>
      </c>
      <c r="F233" s="40">
        <v>27424.54</v>
      </c>
      <c r="G233" s="40">
        <f t="shared" si="3"/>
        <v>341289.32000000041</v>
      </c>
    </row>
    <row r="234" spans="1:7" ht="9.9499999999999993" customHeight="1">
      <c r="A234" s="31">
        <v>27212816937</v>
      </c>
      <c r="B234" s="32" t="s">
        <v>76</v>
      </c>
      <c r="C234" s="33">
        <v>46103</v>
      </c>
      <c r="D234" s="32" t="s">
        <v>71</v>
      </c>
      <c r="E234" s="42">
        <v>-411.37</v>
      </c>
      <c r="F234" s="42">
        <v>0</v>
      </c>
      <c r="G234" s="40">
        <f t="shared" si="3"/>
        <v>340877.95000000042</v>
      </c>
    </row>
    <row r="235" spans="1:7" ht="9.9499999999999993" customHeight="1">
      <c r="A235" s="35">
        <v>677277322177</v>
      </c>
      <c r="B235" s="36" t="s">
        <v>72</v>
      </c>
      <c r="C235" s="28">
        <v>46104</v>
      </c>
      <c r="D235" s="37" t="s">
        <v>73</v>
      </c>
      <c r="E235" s="40">
        <v>0</v>
      </c>
      <c r="F235" s="40">
        <v>68562</v>
      </c>
      <c r="G235" s="40">
        <f t="shared" si="3"/>
        <v>409439.95000000042</v>
      </c>
    </row>
    <row r="236" spans="1:7" ht="9.9499999999999993" customHeight="1">
      <c r="A236" s="31">
        <v>210077322177</v>
      </c>
      <c r="B236" s="32" t="s">
        <v>74</v>
      </c>
      <c r="C236" s="33">
        <v>46104</v>
      </c>
      <c r="D236" s="32" t="s">
        <v>71</v>
      </c>
      <c r="E236" s="42">
        <v>-1028.43</v>
      </c>
      <c r="F236" s="42">
        <v>0</v>
      </c>
      <c r="G236" s="40">
        <f t="shared" si="3"/>
        <v>408411.52000000043</v>
      </c>
    </row>
    <row r="237" spans="1:7" ht="9.9499999999999993" customHeight="1">
      <c r="A237" s="35">
        <v>677277339243</v>
      </c>
      <c r="B237" s="36" t="s">
        <v>85</v>
      </c>
      <c r="C237" s="28">
        <v>46104</v>
      </c>
      <c r="D237" s="37" t="s">
        <v>73</v>
      </c>
      <c r="E237" s="40">
        <v>0</v>
      </c>
      <c r="F237" s="40">
        <v>54849.08</v>
      </c>
      <c r="G237" s="40">
        <f t="shared" si="3"/>
        <v>463260.60000000044</v>
      </c>
    </row>
    <row r="238" spans="1:7" ht="9.9499999999999993" customHeight="1">
      <c r="A238" s="31">
        <v>210077339243</v>
      </c>
      <c r="B238" s="32" t="s">
        <v>74</v>
      </c>
      <c r="C238" s="33">
        <v>46104</v>
      </c>
      <c r="D238" s="32" t="s">
        <v>71</v>
      </c>
      <c r="E238" s="42">
        <v>-822.74</v>
      </c>
      <c r="F238" s="42">
        <v>0</v>
      </c>
      <c r="G238" s="40">
        <f t="shared" si="3"/>
        <v>462437.86000000045</v>
      </c>
    </row>
    <row r="239" spans="1:7" ht="9.9499999999999993" customHeight="1">
      <c r="A239" s="35">
        <v>50953645197</v>
      </c>
      <c r="B239" s="36" t="s">
        <v>75</v>
      </c>
      <c r="C239" s="28">
        <v>46104</v>
      </c>
      <c r="D239" s="37" t="s">
        <v>73</v>
      </c>
      <c r="E239" s="40">
        <v>0</v>
      </c>
      <c r="F239" s="40">
        <v>32000</v>
      </c>
      <c r="G239" s="40">
        <f t="shared" si="3"/>
        <v>494437.86000000045</v>
      </c>
    </row>
    <row r="240" spans="1:7" ht="9.9499999999999993" customHeight="1">
      <c r="A240" s="31">
        <v>27253645197</v>
      </c>
      <c r="B240" s="32" t="s">
        <v>76</v>
      </c>
      <c r="C240" s="33">
        <v>46104</v>
      </c>
      <c r="D240" s="32" t="s">
        <v>71</v>
      </c>
      <c r="E240" s="42">
        <v>-480</v>
      </c>
      <c r="F240" s="42">
        <v>0</v>
      </c>
      <c r="G240" s="40">
        <f t="shared" si="3"/>
        <v>493957.86000000045</v>
      </c>
    </row>
    <row r="241" spans="1:7" ht="9.9499999999999993" customHeight="1">
      <c r="A241" s="35">
        <v>50928243039</v>
      </c>
      <c r="B241" s="36" t="s">
        <v>97</v>
      </c>
      <c r="C241" s="28">
        <v>46104</v>
      </c>
      <c r="D241" s="37" t="s">
        <v>73</v>
      </c>
      <c r="E241" s="40">
        <v>0</v>
      </c>
      <c r="F241" s="40">
        <v>45000</v>
      </c>
      <c r="G241" s="40">
        <f t="shared" si="3"/>
        <v>538957.86000000045</v>
      </c>
    </row>
    <row r="242" spans="1:7" ht="9.9499999999999993" customHeight="1">
      <c r="A242" s="31">
        <v>27228243039</v>
      </c>
      <c r="B242" s="32" t="s">
        <v>76</v>
      </c>
      <c r="C242" s="33">
        <v>46104</v>
      </c>
      <c r="D242" s="32" t="s">
        <v>71</v>
      </c>
      <c r="E242" s="42">
        <v>-675</v>
      </c>
      <c r="F242" s="42">
        <v>0</v>
      </c>
      <c r="G242" s="40">
        <f t="shared" si="3"/>
        <v>538282.86000000045</v>
      </c>
    </row>
    <row r="243" spans="1:7" ht="9.9499999999999993" customHeight="1">
      <c r="A243" s="35">
        <v>329265733452</v>
      </c>
      <c r="B243" s="36" t="s">
        <v>106</v>
      </c>
      <c r="C243" s="28">
        <v>46104</v>
      </c>
      <c r="D243" s="36" t="s">
        <v>71</v>
      </c>
      <c r="E243" s="40">
        <v>-300000</v>
      </c>
      <c r="F243" s="40">
        <v>0</v>
      </c>
      <c r="G243" s="40">
        <f t="shared" si="3"/>
        <v>238282.86000000045</v>
      </c>
    </row>
    <row r="244" spans="1:7" ht="9.9499999999999993" customHeight="1">
      <c r="A244" s="31">
        <v>676265733452</v>
      </c>
      <c r="B244" s="32" t="s">
        <v>78</v>
      </c>
      <c r="C244" s="33">
        <v>46104</v>
      </c>
      <c r="D244" s="32" t="s">
        <v>71</v>
      </c>
      <c r="E244" s="42">
        <v>-750</v>
      </c>
      <c r="F244" s="42">
        <v>0</v>
      </c>
      <c r="G244" s="40">
        <f t="shared" si="3"/>
        <v>237532.86000000045</v>
      </c>
    </row>
    <row r="245" spans="1:7" ht="9.9499999999999993" customHeight="1">
      <c r="A245" s="35">
        <v>50953746369</v>
      </c>
      <c r="B245" s="36" t="s">
        <v>75</v>
      </c>
      <c r="C245" s="28">
        <v>46104</v>
      </c>
      <c r="D245" s="37" t="s">
        <v>73</v>
      </c>
      <c r="E245" s="40">
        <v>0</v>
      </c>
      <c r="F245" s="40">
        <v>13710</v>
      </c>
      <c r="G245" s="40">
        <f t="shared" si="3"/>
        <v>251242.86000000045</v>
      </c>
    </row>
    <row r="246" spans="1:7" ht="9.9499999999999993" customHeight="1">
      <c r="A246" s="31">
        <v>27253746369</v>
      </c>
      <c r="B246" s="32" t="s">
        <v>76</v>
      </c>
      <c r="C246" s="33">
        <v>46104</v>
      </c>
      <c r="D246" s="32" t="s">
        <v>71</v>
      </c>
      <c r="E246" s="42">
        <v>-205.65</v>
      </c>
      <c r="F246" s="42">
        <v>0</v>
      </c>
      <c r="G246" s="40">
        <f t="shared" si="3"/>
        <v>251037.21000000046</v>
      </c>
    </row>
    <row r="247" spans="1:7" ht="9.9499999999999993" customHeight="1">
      <c r="A247" s="35">
        <v>50929445153</v>
      </c>
      <c r="B247" s="36" t="s">
        <v>81</v>
      </c>
      <c r="C247" s="28">
        <v>46104</v>
      </c>
      <c r="D247" s="37" t="s">
        <v>73</v>
      </c>
      <c r="E247" s="40">
        <v>0</v>
      </c>
      <c r="F247" s="40">
        <v>36566.400000000001</v>
      </c>
      <c r="G247" s="40">
        <f t="shared" si="3"/>
        <v>287603.61000000045</v>
      </c>
    </row>
    <row r="248" spans="1:7" ht="9.9499999999999993" customHeight="1">
      <c r="A248" s="31">
        <v>27229445153</v>
      </c>
      <c r="B248" s="32" t="s">
        <v>76</v>
      </c>
      <c r="C248" s="33">
        <v>46104</v>
      </c>
      <c r="D248" s="32" t="s">
        <v>71</v>
      </c>
      <c r="E248" s="42">
        <v>-548.5</v>
      </c>
      <c r="F248" s="42">
        <v>0</v>
      </c>
      <c r="G248" s="40">
        <f t="shared" si="3"/>
        <v>287055.11000000045</v>
      </c>
    </row>
    <row r="249" spans="1:7" ht="9.9499999999999993" customHeight="1">
      <c r="A249" s="35">
        <v>677278445670</v>
      </c>
      <c r="B249" s="36" t="s">
        <v>72</v>
      </c>
      <c r="C249" s="28">
        <v>46105</v>
      </c>
      <c r="D249" s="37" t="s">
        <v>73</v>
      </c>
      <c r="E249" s="40">
        <v>0</v>
      </c>
      <c r="F249" s="40">
        <v>11027</v>
      </c>
      <c r="G249" s="40">
        <f t="shared" si="3"/>
        <v>298082.11000000045</v>
      </c>
    </row>
    <row r="250" spans="1:7" ht="9.9499999999999993" customHeight="1">
      <c r="A250" s="31">
        <v>210078445670</v>
      </c>
      <c r="B250" s="32" t="s">
        <v>74</v>
      </c>
      <c r="C250" s="33">
        <v>46105</v>
      </c>
      <c r="D250" s="32" t="s">
        <v>71</v>
      </c>
      <c r="E250" s="42">
        <v>-165.41</v>
      </c>
      <c r="F250" s="42">
        <v>0</v>
      </c>
      <c r="G250" s="40">
        <f t="shared" si="3"/>
        <v>297916.70000000048</v>
      </c>
    </row>
    <row r="251" spans="1:7" ht="9.9499999999999993" customHeight="1">
      <c r="A251" s="35">
        <v>50953888358</v>
      </c>
      <c r="B251" s="36" t="s">
        <v>75</v>
      </c>
      <c r="C251" s="28">
        <v>46105</v>
      </c>
      <c r="D251" s="37" t="s">
        <v>73</v>
      </c>
      <c r="E251" s="40">
        <v>0</v>
      </c>
      <c r="F251" s="40">
        <v>13785</v>
      </c>
      <c r="G251" s="40">
        <f t="shared" si="3"/>
        <v>311701.70000000048</v>
      </c>
    </row>
    <row r="252" spans="1:7" ht="9.9499999999999993" customHeight="1">
      <c r="A252" s="31">
        <v>27253888358</v>
      </c>
      <c r="B252" s="32" t="s">
        <v>76</v>
      </c>
      <c r="C252" s="33">
        <v>46105</v>
      </c>
      <c r="D252" s="32" t="s">
        <v>71</v>
      </c>
      <c r="E252" s="42">
        <v>-206.78</v>
      </c>
      <c r="F252" s="42">
        <v>0</v>
      </c>
      <c r="G252" s="40">
        <f t="shared" si="3"/>
        <v>311494.92000000045</v>
      </c>
    </row>
    <row r="253" spans="1:7" ht="9.9499999999999993" customHeight="1">
      <c r="A253" s="35">
        <v>329265918902</v>
      </c>
      <c r="B253" s="36" t="s">
        <v>107</v>
      </c>
      <c r="C253" s="28">
        <v>46106</v>
      </c>
      <c r="D253" s="36" t="s">
        <v>71</v>
      </c>
      <c r="E253" s="40">
        <v>-20000</v>
      </c>
      <c r="F253" s="40">
        <v>0</v>
      </c>
      <c r="G253" s="40">
        <f t="shared" si="3"/>
        <v>291494.92000000045</v>
      </c>
    </row>
    <row r="254" spans="1:7" ht="9.9499999999999993" customHeight="1">
      <c r="A254" s="31">
        <v>676265918902</v>
      </c>
      <c r="B254" s="32" t="s">
        <v>78</v>
      </c>
      <c r="C254" s="33">
        <v>46106</v>
      </c>
      <c r="D254" s="32" t="s">
        <v>71</v>
      </c>
      <c r="E254" s="42">
        <v>-50</v>
      </c>
      <c r="F254" s="42">
        <v>0</v>
      </c>
      <c r="G254" s="40">
        <f t="shared" si="3"/>
        <v>291444.92000000045</v>
      </c>
    </row>
    <row r="255" spans="1:7" ht="9.9499999999999993" customHeight="1">
      <c r="A255" s="35">
        <v>677280559489</v>
      </c>
      <c r="B255" s="36" t="s">
        <v>72</v>
      </c>
      <c r="C255" s="28">
        <v>46106</v>
      </c>
      <c r="D255" s="37" t="s">
        <v>73</v>
      </c>
      <c r="E255" s="40">
        <v>0</v>
      </c>
      <c r="F255" s="40">
        <v>9254</v>
      </c>
      <c r="G255" s="40">
        <f t="shared" si="3"/>
        <v>300698.92000000045</v>
      </c>
    </row>
    <row r="256" spans="1:7" ht="9.9499999999999993" customHeight="1">
      <c r="A256" s="31">
        <v>210080559489</v>
      </c>
      <c r="B256" s="32" t="s">
        <v>74</v>
      </c>
      <c r="C256" s="33">
        <v>46106</v>
      </c>
      <c r="D256" s="32" t="s">
        <v>71</v>
      </c>
      <c r="E256" s="42">
        <v>-138.81</v>
      </c>
      <c r="F256" s="42">
        <v>0</v>
      </c>
      <c r="G256" s="40">
        <f t="shared" si="3"/>
        <v>300560.11000000045</v>
      </c>
    </row>
    <row r="257" spans="1:7" ht="9.9499999999999993" customHeight="1">
      <c r="A257" s="35">
        <v>50954133269</v>
      </c>
      <c r="B257" s="36" t="s">
        <v>75</v>
      </c>
      <c r="C257" s="28">
        <v>46106</v>
      </c>
      <c r="D257" s="37" t="s">
        <v>73</v>
      </c>
      <c r="E257" s="40">
        <v>0</v>
      </c>
      <c r="F257" s="40">
        <v>46266</v>
      </c>
      <c r="G257" s="40">
        <f t="shared" si="3"/>
        <v>346826.11000000045</v>
      </c>
    </row>
    <row r="258" spans="1:7" ht="9.9499999999999993" customHeight="1">
      <c r="A258" s="31">
        <v>27254133269</v>
      </c>
      <c r="B258" s="32" t="s">
        <v>76</v>
      </c>
      <c r="C258" s="33">
        <v>46106</v>
      </c>
      <c r="D258" s="32" t="s">
        <v>71</v>
      </c>
      <c r="E258" s="42">
        <v>-693.99</v>
      </c>
      <c r="F258" s="42">
        <v>0</v>
      </c>
      <c r="G258" s="40">
        <f t="shared" si="3"/>
        <v>346132.12000000046</v>
      </c>
    </row>
    <row r="259" spans="1:7" ht="9.9499999999999993" customHeight="1">
      <c r="A259" s="35">
        <v>677280768856</v>
      </c>
      <c r="B259" s="36" t="s">
        <v>72</v>
      </c>
      <c r="C259" s="28">
        <v>46106</v>
      </c>
      <c r="D259" s="37" t="s">
        <v>73</v>
      </c>
      <c r="E259" s="40">
        <v>0</v>
      </c>
      <c r="F259" s="40">
        <v>13881</v>
      </c>
      <c r="G259" s="40">
        <f t="shared" si="3"/>
        <v>360013.12000000046</v>
      </c>
    </row>
    <row r="260" spans="1:7" ht="9.9499999999999993" customHeight="1">
      <c r="A260" s="31">
        <v>210080768856</v>
      </c>
      <c r="B260" s="32" t="s">
        <v>74</v>
      </c>
      <c r="C260" s="33">
        <v>46106</v>
      </c>
      <c r="D260" s="32" t="s">
        <v>71</v>
      </c>
      <c r="E260" s="42">
        <v>-208.22</v>
      </c>
      <c r="F260" s="42">
        <v>0</v>
      </c>
      <c r="G260" s="40">
        <f t="shared" si="3"/>
        <v>359804.90000000049</v>
      </c>
    </row>
    <row r="261" spans="1:7" ht="9.9499999999999993" customHeight="1">
      <c r="A261" s="35">
        <v>329269450437</v>
      </c>
      <c r="B261" s="36" t="s">
        <v>108</v>
      </c>
      <c r="C261" s="28">
        <v>46106</v>
      </c>
      <c r="D261" s="36" t="s">
        <v>71</v>
      </c>
      <c r="E261" s="40">
        <v>-25000</v>
      </c>
      <c r="F261" s="40">
        <v>0</v>
      </c>
      <c r="G261" s="40">
        <f t="shared" si="3"/>
        <v>334804.90000000049</v>
      </c>
    </row>
    <row r="262" spans="1:7" ht="9.9499999999999993" customHeight="1">
      <c r="A262" s="31">
        <v>676269450437</v>
      </c>
      <c r="B262" s="32" t="s">
        <v>78</v>
      </c>
      <c r="C262" s="33">
        <v>46106</v>
      </c>
      <c r="D262" s="32" t="s">
        <v>71</v>
      </c>
      <c r="E262" s="42">
        <v>-62.5</v>
      </c>
      <c r="F262" s="42">
        <v>0</v>
      </c>
      <c r="G262" s="40">
        <f t="shared" ref="G262:G320" si="4">G261+E262+F262</f>
        <v>334742.40000000049</v>
      </c>
    </row>
    <row r="263" spans="1:7" ht="9.9499999999999993" customHeight="1">
      <c r="A263" s="35">
        <v>50945431666</v>
      </c>
      <c r="B263" s="36" t="s">
        <v>81</v>
      </c>
      <c r="C263" s="28">
        <v>46106</v>
      </c>
      <c r="D263" s="37" t="s">
        <v>73</v>
      </c>
      <c r="E263" s="40">
        <v>0</v>
      </c>
      <c r="F263" s="40">
        <v>23133.5</v>
      </c>
      <c r="G263" s="40">
        <f t="shared" si="4"/>
        <v>357875.90000000049</v>
      </c>
    </row>
    <row r="264" spans="1:7" ht="9.9499999999999993" customHeight="1">
      <c r="A264" s="31">
        <v>27245431666</v>
      </c>
      <c r="B264" s="32" t="s">
        <v>76</v>
      </c>
      <c r="C264" s="33">
        <v>46106</v>
      </c>
      <c r="D264" s="32" t="s">
        <v>71</v>
      </c>
      <c r="E264" s="42">
        <v>-347</v>
      </c>
      <c r="F264" s="42">
        <v>0</v>
      </c>
      <c r="G264" s="40">
        <f t="shared" si="4"/>
        <v>357528.90000000049</v>
      </c>
    </row>
    <row r="265" spans="1:7" ht="9.9499999999999993" customHeight="1">
      <c r="A265" s="35">
        <v>329269508710</v>
      </c>
      <c r="B265" s="36" t="s">
        <v>109</v>
      </c>
      <c r="C265" s="28">
        <v>46107</v>
      </c>
      <c r="D265" s="36" t="s">
        <v>71</v>
      </c>
      <c r="E265" s="40">
        <v>-32000</v>
      </c>
      <c r="F265" s="40">
        <v>0</v>
      </c>
      <c r="G265" s="40">
        <f t="shared" si="4"/>
        <v>325528.90000000049</v>
      </c>
    </row>
    <row r="266" spans="1:7" ht="9.9499999999999993" customHeight="1">
      <c r="A266" s="31">
        <v>676269508710</v>
      </c>
      <c r="B266" s="32" t="s">
        <v>78</v>
      </c>
      <c r="C266" s="33">
        <v>46107</v>
      </c>
      <c r="D266" s="32" t="s">
        <v>71</v>
      </c>
      <c r="E266" s="42">
        <v>-80</v>
      </c>
      <c r="F266" s="42">
        <v>0</v>
      </c>
      <c r="G266" s="40">
        <f t="shared" si="4"/>
        <v>325448.90000000049</v>
      </c>
    </row>
    <row r="267" spans="1:7" ht="9.9499999999999993" customHeight="1">
      <c r="A267" s="35">
        <v>677282779605</v>
      </c>
      <c r="B267" s="36" t="s">
        <v>72</v>
      </c>
      <c r="C267" s="28">
        <v>46107</v>
      </c>
      <c r="D267" s="37" t="s">
        <v>73</v>
      </c>
      <c r="E267" s="40">
        <v>0</v>
      </c>
      <c r="F267" s="40">
        <v>13999</v>
      </c>
      <c r="G267" s="40">
        <f t="shared" si="4"/>
        <v>339447.90000000049</v>
      </c>
    </row>
    <row r="268" spans="1:7" ht="9.9499999999999993" customHeight="1">
      <c r="A268" s="31">
        <v>210082779605</v>
      </c>
      <c r="B268" s="32" t="s">
        <v>74</v>
      </c>
      <c r="C268" s="33">
        <v>46107</v>
      </c>
      <c r="D268" s="32" t="s">
        <v>71</v>
      </c>
      <c r="E268" s="42">
        <v>-209.98</v>
      </c>
      <c r="F268" s="42">
        <v>0</v>
      </c>
      <c r="G268" s="40">
        <f t="shared" si="4"/>
        <v>339237.92000000051</v>
      </c>
    </row>
    <row r="269" spans="1:7" ht="9.9499999999999993" customHeight="1">
      <c r="A269" s="35">
        <v>677283339298</v>
      </c>
      <c r="B269" s="36" t="s">
        <v>102</v>
      </c>
      <c r="C269" s="28">
        <v>46107</v>
      </c>
      <c r="D269" s="37" t="s">
        <v>73</v>
      </c>
      <c r="E269" s="40">
        <v>0</v>
      </c>
      <c r="F269" s="40">
        <v>49680</v>
      </c>
      <c r="G269" s="40">
        <f t="shared" si="4"/>
        <v>388917.92000000051</v>
      </c>
    </row>
    <row r="270" spans="1:7" ht="9.9499999999999993" customHeight="1">
      <c r="A270" s="31">
        <v>210083339298</v>
      </c>
      <c r="B270" s="32" t="s">
        <v>74</v>
      </c>
      <c r="C270" s="33">
        <v>46107</v>
      </c>
      <c r="D270" s="32" t="s">
        <v>71</v>
      </c>
      <c r="E270" s="42">
        <v>-745.2</v>
      </c>
      <c r="F270" s="42">
        <v>0</v>
      </c>
      <c r="G270" s="40">
        <f t="shared" si="4"/>
        <v>388172.7200000005</v>
      </c>
    </row>
    <row r="271" spans="1:7" ht="9.9499999999999993" customHeight="1">
      <c r="A271" s="35">
        <v>50958539538</v>
      </c>
      <c r="B271" s="36" t="s">
        <v>81</v>
      </c>
      <c r="C271" s="28">
        <v>46107</v>
      </c>
      <c r="D271" s="37" t="s">
        <v>73</v>
      </c>
      <c r="E271" s="40">
        <v>0</v>
      </c>
      <c r="F271" s="40">
        <v>23330</v>
      </c>
      <c r="G271" s="40">
        <f t="shared" si="4"/>
        <v>411502.7200000005</v>
      </c>
    </row>
    <row r="272" spans="1:7" ht="9.9499999999999993" customHeight="1">
      <c r="A272" s="31">
        <v>27258539538</v>
      </c>
      <c r="B272" s="32" t="s">
        <v>76</v>
      </c>
      <c r="C272" s="33">
        <v>46107</v>
      </c>
      <c r="D272" s="32" t="s">
        <v>71</v>
      </c>
      <c r="E272" s="42">
        <v>-349.95</v>
      </c>
      <c r="F272" s="42">
        <v>0</v>
      </c>
      <c r="G272" s="40">
        <f t="shared" si="4"/>
        <v>411152.77000000048</v>
      </c>
    </row>
    <row r="273" spans="1:7" ht="9.9499999999999993" customHeight="1">
      <c r="A273" s="35">
        <v>329269660418</v>
      </c>
      <c r="B273" s="36" t="s">
        <v>110</v>
      </c>
      <c r="C273" s="28">
        <v>46108</v>
      </c>
      <c r="D273" s="36" t="s">
        <v>71</v>
      </c>
      <c r="E273" s="40">
        <v>-16000</v>
      </c>
      <c r="F273" s="40">
        <v>0</v>
      </c>
      <c r="G273" s="40">
        <f t="shared" si="4"/>
        <v>395152.77000000048</v>
      </c>
    </row>
    <row r="274" spans="1:7" ht="9.9499999999999993" customHeight="1">
      <c r="A274" s="31">
        <v>676269660418</v>
      </c>
      <c r="B274" s="32" t="s">
        <v>78</v>
      </c>
      <c r="C274" s="33">
        <v>46108</v>
      </c>
      <c r="D274" s="32" t="s">
        <v>71</v>
      </c>
      <c r="E274" s="42">
        <v>-40</v>
      </c>
      <c r="F274" s="42">
        <v>0</v>
      </c>
      <c r="G274" s="40">
        <f t="shared" si="4"/>
        <v>395112.77000000048</v>
      </c>
    </row>
    <row r="275" spans="1:7" ht="9.9499999999999993" customHeight="1">
      <c r="A275" s="35">
        <v>329269819250</v>
      </c>
      <c r="B275" s="36" t="s">
        <v>111</v>
      </c>
      <c r="C275" s="28">
        <v>46108</v>
      </c>
      <c r="D275" s="36" t="s">
        <v>71</v>
      </c>
      <c r="E275" s="40">
        <v>-30000</v>
      </c>
      <c r="F275" s="40">
        <v>0</v>
      </c>
      <c r="G275" s="40">
        <f t="shared" si="4"/>
        <v>365112.77000000048</v>
      </c>
    </row>
    <row r="276" spans="1:7" ht="9.9499999999999993" customHeight="1">
      <c r="A276" s="31">
        <v>676269819250</v>
      </c>
      <c r="B276" s="32" t="s">
        <v>78</v>
      </c>
      <c r="C276" s="33">
        <v>46108</v>
      </c>
      <c r="D276" s="32" t="s">
        <v>71</v>
      </c>
      <c r="E276" s="42">
        <v>-75</v>
      </c>
      <c r="F276" s="42">
        <v>0</v>
      </c>
      <c r="G276" s="40">
        <f t="shared" si="4"/>
        <v>365037.77000000048</v>
      </c>
    </row>
    <row r="277" spans="1:7" ht="9.9499999999999993" customHeight="1">
      <c r="A277" s="35">
        <v>50954743742</v>
      </c>
      <c r="B277" s="36" t="s">
        <v>75</v>
      </c>
      <c r="C277" s="28">
        <v>46108</v>
      </c>
      <c r="D277" s="37" t="s">
        <v>73</v>
      </c>
      <c r="E277" s="40">
        <v>0</v>
      </c>
      <c r="F277" s="40">
        <v>46851</v>
      </c>
      <c r="G277" s="40">
        <f t="shared" si="4"/>
        <v>411888.77000000048</v>
      </c>
    </row>
    <row r="278" spans="1:7" ht="9.9499999999999993" customHeight="1">
      <c r="A278" s="31">
        <v>27254743742</v>
      </c>
      <c r="B278" s="32" t="s">
        <v>76</v>
      </c>
      <c r="C278" s="33">
        <v>46108</v>
      </c>
      <c r="D278" s="32" t="s">
        <v>71</v>
      </c>
      <c r="E278" s="42">
        <v>-702.77</v>
      </c>
      <c r="F278" s="42">
        <v>0</v>
      </c>
      <c r="G278" s="40">
        <f t="shared" si="4"/>
        <v>411186.00000000047</v>
      </c>
    </row>
    <row r="279" spans="1:7" ht="9.9499999999999993" customHeight="1">
      <c r="A279" s="35">
        <v>50961039334</v>
      </c>
      <c r="B279" s="36" t="s">
        <v>81</v>
      </c>
      <c r="C279" s="28">
        <v>46108</v>
      </c>
      <c r="D279" s="37" t="s">
        <v>73</v>
      </c>
      <c r="E279" s="40">
        <v>0</v>
      </c>
      <c r="F279" s="40">
        <v>28110</v>
      </c>
      <c r="G279" s="40">
        <f t="shared" si="4"/>
        <v>439296.00000000047</v>
      </c>
    </row>
    <row r="280" spans="1:7" ht="9.9499999999999993" customHeight="1">
      <c r="A280" s="31">
        <v>27261039334</v>
      </c>
      <c r="B280" s="32" t="s">
        <v>76</v>
      </c>
      <c r="C280" s="33">
        <v>46108</v>
      </c>
      <c r="D280" s="32" t="s">
        <v>71</v>
      </c>
      <c r="E280" s="42">
        <v>-421.65</v>
      </c>
      <c r="F280" s="42">
        <v>0</v>
      </c>
      <c r="G280" s="40">
        <f t="shared" si="4"/>
        <v>438874.35000000044</v>
      </c>
    </row>
    <row r="281" spans="1:7" ht="9.9499999999999993" customHeight="1">
      <c r="A281" s="35">
        <v>677285161257</v>
      </c>
      <c r="B281" s="36" t="s">
        <v>112</v>
      </c>
      <c r="C281" s="28">
        <v>46108</v>
      </c>
      <c r="D281" s="37" t="s">
        <v>73</v>
      </c>
      <c r="E281" s="40">
        <v>0</v>
      </c>
      <c r="F281" s="40">
        <v>46852</v>
      </c>
      <c r="G281" s="40">
        <f t="shared" si="4"/>
        <v>485726.35000000044</v>
      </c>
    </row>
    <row r="282" spans="1:7" ht="9.9499999999999993" customHeight="1">
      <c r="A282" s="31">
        <v>210085161257</v>
      </c>
      <c r="B282" s="32" t="s">
        <v>74</v>
      </c>
      <c r="C282" s="33">
        <v>46108</v>
      </c>
      <c r="D282" s="32" t="s">
        <v>71</v>
      </c>
      <c r="E282" s="42">
        <v>-702.78</v>
      </c>
      <c r="F282" s="42">
        <v>0</v>
      </c>
      <c r="G282" s="40">
        <f t="shared" si="4"/>
        <v>485023.57000000041</v>
      </c>
    </row>
    <row r="283" spans="1:7" ht="9.9499999999999993" customHeight="1">
      <c r="A283" s="35">
        <v>329272415106</v>
      </c>
      <c r="B283" s="36" t="s">
        <v>113</v>
      </c>
      <c r="C283" s="28">
        <v>46108</v>
      </c>
      <c r="D283" s="36" t="s">
        <v>71</v>
      </c>
      <c r="E283" s="40">
        <v>-35000</v>
      </c>
      <c r="F283" s="40">
        <v>0</v>
      </c>
      <c r="G283" s="40">
        <f t="shared" si="4"/>
        <v>450023.57000000041</v>
      </c>
    </row>
    <row r="284" spans="1:7" ht="9.9499999999999993" customHeight="1">
      <c r="A284" s="31">
        <v>676272415106</v>
      </c>
      <c r="B284" s="32" t="s">
        <v>78</v>
      </c>
      <c r="C284" s="33">
        <v>46108</v>
      </c>
      <c r="D284" s="32" t="s">
        <v>71</v>
      </c>
      <c r="E284" s="42">
        <v>-87.5</v>
      </c>
      <c r="F284" s="42">
        <v>0</v>
      </c>
      <c r="G284" s="40">
        <f t="shared" si="4"/>
        <v>449936.07000000041</v>
      </c>
    </row>
    <row r="285" spans="1:7" ht="9.9499999999999993" customHeight="1">
      <c r="A285" s="35">
        <v>677286143872</v>
      </c>
      <c r="B285" s="36" t="s">
        <v>114</v>
      </c>
      <c r="C285" s="28">
        <v>46109</v>
      </c>
      <c r="D285" s="37" t="s">
        <v>73</v>
      </c>
      <c r="E285" s="40">
        <v>0</v>
      </c>
      <c r="F285" s="40">
        <v>47170.04</v>
      </c>
      <c r="G285" s="40">
        <f t="shared" si="4"/>
        <v>497106.11000000039</v>
      </c>
    </row>
    <row r="286" spans="1:7" ht="9.9499999999999993" customHeight="1">
      <c r="A286" s="31">
        <v>210086143872</v>
      </c>
      <c r="B286" s="32" t="s">
        <v>74</v>
      </c>
      <c r="C286" s="33">
        <v>46109</v>
      </c>
      <c r="D286" s="32" t="s">
        <v>71</v>
      </c>
      <c r="E286" s="42">
        <v>-707.55</v>
      </c>
      <c r="F286" s="42">
        <v>0</v>
      </c>
      <c r="G286" s="40">
        <f t="shared" si="4"/>
        <v>496398.56000000041</v>
      </c>
    </row>
    <row r="287" spans="1:7" ht="9.9499999999999993" customHeight="1">
      <c r="A287" s="35">
        <v>677286575527</v>
      </c>
      <c r="B287" s="36" t="s">
        <v>115</v>
      </c>
      <c r="C287" s="28">
        <v>46109</v>
      </c>
      <c r="D287" s="37" t="s">
        <v>73</v>
      </c>
      <c r="E287" s="40">
        <v>0</v>
      </c>
      <c r="F287" s="40">
        <v>26790</v>
      </c>
      <c r="G287" s="40">
        <f t="shared" si="4"/>
        <v>523188.56000000041</v>
      </c>
    </row>
    <row r="288" spans="1:7" ht="9.9499999999999993" customHeight="1">
      <c r="A288" s="31">
        <v>210086575527</v>
      </c>
      <c r="B288" s="32" t="s">
        <v>74</v>
      </c>
      <c r="C288" s="33">
        <v>46109</v>
      </c>
      <c r="D288" s="32" t="s">
        <v>71</v>
      </c>
      <c r="E288" s="42">
        <v>-401.85</v>
      </c>
      <c r="F288" s="42">
        <v>0</v>
      </c>
      <c r="G288" s="40">
        <f t="shared" si="4"/>
        <v>522786.71000000043</v>
      </c>
    </row>
    <row r="289" spans="1:7" ht="9.9499999999999993" customHeight="1">
      <c r="A289" s="35">
        <v>329272454215</v>
      </c>
      <c r="B289" s="36" t="s">
        <v>116</v>
      </c>
      <c r="C289" s="28">
        <v>46109</v>
      </c>
      <c r="D289" s="36" t="s">
        <v>71</v>
      </c>
      <c r="E289" s="40">
        <v>-70000</v>
      </c>
      <c r="F289" s="40">
        <v>0</v>
      </c>
      <c r="G289" s="40">
        <f t="shared" si="4"/>
        <v>452786.71000000043</v>
      </c>
    </row>
    <row r="290" spans="1:7" ht="9.9499999999999993" customHeight="1">
      <c r="A290" s="31">
        <v>676272454215</v>
      </c>
      <c r="B290" s="32" t="s">
        <v>78</v>
      </c>
      <c r="C290" s="33">
        <v>46109</v>
      </c>
      <c r="D290" s="32" t="s">
        <v>71</v>
      </c>
      <c r="E290" s="42">
        <v>-175</v>
      </c>
      <c r="F290" s="42">
        <v>0</v>
      </c>
      <c r="G290" s="40">
        <f t="shared" si="4"/>
        <v>452611.71000000043</v>
      </c>
    </row>
    <row r="291" spans="1:7" ht="9.9499999999999993" customHeight="1">
      <c r="A291" s="35">
        <v>329272458888</v>
      </c>
      <c r="B291" s="36" t="s">
        <v>117</v>
      </c>
      <c r="C291" s="28">
        <v>46109</v>
      </c>
      <c r="D291" s="36" t="s">
        <v>71</v>
      </c>
      <c r="E291" s="40">
        <v>-40000</v>
      </c>
      <c r="F291" s="40">
        <v>0</v>
      </c>
      <c r="G291" s="40">
        <f t="shared" si="4"/>
        <v>412611.71000000043</v>
      </c>
    </row>
    <row r="292" spans="1:7" ht="9.9499999999999993" customHeight="1">
      <c r="A292" s="31">
        <v>676272458888</v>
      </c>
      <c r="B292" s="32" t="s">
        <v>78</v>
      </c>
      <c r="C292" s="33">
        <v>46109</v>
      </c>
      <c r="D292" s="32" t="s">
        <v>71</v>
      </c>
      <c r="E292" s="42">
        <v>-100</v>
      </c>
      <c r="F292" s="42">
        <v>0</v>
      </c>
      <c r="G292" s="40">
        <f t="shared" si="4"/>
        <v>412511.71000000043</v>
      </c>
    </row>
    <row r="293" spans="1:7" ht="9.9499999999999993" customHeight="1">
      <c r="A293" s="35">
        <v>50955234694</v>
      </c>
      <c r="B293" s="36" t="s">
        <v>75</v>
      </c>
      <c r="C293" s="28">
        <v>46110</v>
      </c>
      <c r="D293" s="37" t="s">
        <v>73</v>
      </c>
      <c r="E293" s="40">
        <v>0</v>
      </c>
      <c r="F293" s="40">
        <v>5000</v>
      </c>
      <c r="G293" s="40">
        <f t="shared" si="4"/>
        <v>417511.71000000043</v>
      </c>
    </row>
    <row r="294" spans="1:7" ht="9.9499999999999993" customHeight="1">
      <c r="A294" s="31">
        <v>27255234694</v>
      </c>
      <c r="B294" s="32" t="s">
        <v>76</v>
      </c>
      <c r="C294" s="33">
        <v>46110</v>
      </c>
      <c r="D294" s="32" t="s">
        <v>71</v>
      </c>
      <c r="E294" s="42">
        <v>-75</v>
      </c>
      <c r="F294" s="42">
        <v>0</v>
      </c>
      <c r="G294" s="40">
        <f t="shared" si="4"/>
        <v>417436.71000000043</v>
      </c>
    </row>
    <row r="295" spans="1:7" ht="9.9499999999999993" customHeight="1">
      <c r="A295" s="35">
        <v>677288913985</v>
      </c>
      <c r="B295" s="36" t="s">
        <v>112</v>
      </c>
      <c r="C295" s="28">
        <v>46110</v>
      </c>
      <c r="D295" s="37" t="s">
        <v>73</v>
      </c>
      <c r="E295" s="40">
        <v>0</v>
      </c>
      <c r="F295" s="40">
        <v>56222</v>
      </c>
      <c r="G295" s="40">
        <f t="shared" si="4"/>
        <v>473658.71000000043</v>
      </c>
    </row>
    <row r="296" spans="1:7" ht="9.9499999999999993" customHeight="1">
      <c r="A296" s="31">
        <v>210088913985</v>
      </c>
      <c r="B296" s="32" t="s">
        <v>74</v>
      </c>
      <c r="C296" s="33">
        <v>46110</v>
      </c>
      <c r="D296" s="32" t="s">
        <v>71</v>
      </c>
      <c r="E296" s="42">
        <v>-843.33</v>
      </c>
      <c r="F296" s="42">
        <v>0</v>
      </c>
      <c r="G296" s="40">
        <f t="shared" si="4"/>
        <v>472815.38000000041</v>
      </c>
    </row>
    <row r="297" spans="1:7" ht="9.9499999999999993" customHeight="1">
      <c r="A297" s="35">
        <v>677290165298</v>
      </c>
      <c r="B297" s="36" t="s">
        <v>114</v>
      </c>
      <c r="C297" s="28">
        <v>46111</v>
      </c>
      <c r="D297" s="37" t="s">
        <v>73</v>
      </c>
      <c r="E297" s="40">
        <v>0</v>
      </c>
      <c r="F297" s="40">
        <v>47170.04</v>
      </c>
      <c r="G297" s="40">
        <f t="shared" si="4"/>
        <v>519985.42000000039</v>
      </c>
    </row>
    <row r="298" spans="1:7" ht="9.9499999999999993" customHeight="1">
      <c r="A298" s="31">
        <v>210090165298</v>
      </c>
      <c r="B298" s="32" t="s">
        <v>74</v>
      </c>
      <c r="C298" s="33">
        <v>46111</v>
      </c>
      <c r="D298" s="32" t="s">
        <v>71</v>
      </c>
      <c r="E298" s="42">
        <v>-707.55</v>
      </c>
      <c r="F298" s="42">
        <v>0</v>
      </c>
      <c r="G298" s="40">
        <f t="shared" si="4"/>
        <v>519277.8700000004</v>
      </c>
    </row>
    <row r="299" spans="1:7" ht="9.9499999999999993" customHeight="1">
      <c r="A299" s="35">
        <v>50999432579</v>
      </c>
      <c r="B299" s="36" t="s">
        <v>81</v>
      </c>
      <c r="C299" s="28">
        <v>46111</v>
      </c>
      <c r="D299" s="37" t="s">
        <v>73</v>
      </c>
      <c r="E299" s="40">
        <v>0</v>
      </c>
      <c r="F299" s="40">
        <v>37736</v>
      </c>
      <c r="G299" s="40">
        <f t="shared" si="4"/>
        <v>557013.87000000034</v>
      </c>
    </row>
    <row r="300" spans="1:7" ht="9.9499999999999993" customHeight="1">
      <c r="A300" s="31">
        <v>27299432579</v>
      </c>
      <c r="B300" s="32" t="s">
        <v>76</v>
      </c>
      <c r="C300" s="33">
        <v>46111</v>
      </c>
      <c r="D300" s="32" t="s">
        <v>71</v>
      </c>
      <c r="E300" s="42">
        <v>-566.04</v>
      </c>
      <c r="F300" s="42">
        <v>0</v>
      </c>
      <c r="G300" s="40">
        <f t="shared" si="4"/>
        <v>556447.83000000031</v>
      </c>
    </row>
    <row r="301" spans="1:7" ht="9.9499999999999993" customHeight="1">
      <c r="A301" s="35">
        <v>50990017046</v>
      </c>
      <c r="B301" s="36" t="s">
        <v>81</v>
      </c>
      <c r="C301" s="28">
        <v>46111</v>
      </c>
      <c r="D301" s="37" t="s">
        <v>73</v>
      </c>
      <c r="E301" s="40">
        <v>0</v>
      </c>
      <c r="F301" s="40">
        <v>15566</v>
      </c>
      <c r="G301" s="40">
        <f t="shared" si="4"/>
        <v>572013.83000000031</v>
      </c>
    </row>
    <row r="302" spans="1:7" ht="9.9499999999999993" customHeight="1">
      <c r="A302" s="31">
        <v>27290017046</v>
      </c>
      <c r="B302" s="32" t="s">
        <v>76</v>
      </c>
      <c r="C302" s="33">
        <v>46111</v>
      </c>
      <c r="D302" s="32" t="s">
        <v>71</v>
      </c>
      <c r="E302" s="42">
        <v>-233.49</v>
      </c>
      <c r="F302" s="42">
        <v>0</v>
      </c>
      <c r="G302" s="40">
        <f t="shared" si="4"/>
        <v>571780.34000000032</v>
      </c>
    </row>
    <row r="303" spans="1:7" ht="9.9499999999999993" customHeight="1">
      <c r="A303" s="35">
        <v>50955564856</v>
      </c>
      <c r="B303" s="36" t="s">
        <v>75</v>
      </c>
      <c r="C303" s="28">
        <v>46111</v>
      </c>
      <c r="D303" s="37" t="s">
        <v>73</v>
      </c>
      <c r="E303" s="40">
        <v>0</v>
      </c>
      <c r="F303" s="40">
        <v>25472</v>
      </c>
      <c r="G303" s="40">
        <f t="shared" si="4"/>
        <v>597252.34000000032</v>
      </c>
    </row>
    <row r="304" spans="1:7" ht="9.9499999999999993" customHeight="1">
      <c r="A304" s="31">
        <v>27255564856</v>
      </c>
      <c r="B304" s="32" t="s">
        <v>76</v>
      </c>
      <c r="C304" s="33">
        <v>46111</v>
      </c>
      <c r="D304" s="32" t="s">
        <v>71</v>
      </c>
      <c r="E304" s="42">
        <v>-382.08</v>
      </c>
      <c r="F304" s="42">
        <v>0</v>
      </c>
      <c r="G304" s="40">
        <f t="shared" si="4"/>
        <v>596870.26000000036</v>
      </c>
    </row>
    <row r="305" spans="1:7" ht="9.9499999999999993" customHeight="1">
      <c r="A305" s="35">
        <v>329272758911</v>
      </c>
      <c r="B305" s="36" t="s">
        <v>118</v>
      </c>
      <c r="C305" s="28">
        <v>46111</v>
      </c>
      <c r="D305" s="36" t="s">
        <v>71</v>
      </c>
      <c r="E305" s="40">
        <v>-20000</v>
      </c>
      <c r="F305" s="40">
        <v>0</v>
      </c>
      <c r="G305" s="40">
        <f t="shared" si="4"/>
        <v>576870.26000000036</v>
      </c>
    </row>
    <row r="306" spans="1:7" ht="9.9499999999999993" customHeight="1">
      <c r="A306" s="31">
        <v>676272758911</v>
      </c>
      <c r="B306" s="32" t="s">
        <v>78</v>
      </c>
      <c r="C306" s="33">
        <v>46111</v>
      </c>
      <c r="D306" s="32" t="s">
        <v>71</v>
      </c>
      <c r="E306" s="42">
        <v>-50</v>
      </c>
      <c r="F306" s="42">
        <v>0</v>
      </c>
      <c r="G306" s="40">
        <f t="shared" si="4"/>
        <v>576820.26000000036</v>
      </c>
    </row>
    <row r="307" spans="1:7" ht="9.9499999999999993" customHeight="1">
      <c r="A307" s="35">
        <v>677291034161</v>
      </c>
      <c r="B307" s="36" t="s">
        <v>112</v>
      </c>
      <c r="C307" s="28">
        <v>46111</v>
      </c>
      <c r="D307" s="37" t="s">
        <v>73</v>
      </c>
      <c r="E307" s="40">
        <v>0</v>
      </c>
      <c r="F307" s="40">
        <v>18869</v>
      </c>
      <c r="G307" s="40">
        <f t="shared" si="4"/>
        <v>595689.26000000036</v>
      </c>
    </row>
    <row r="308" spans="1:7" ht="9.9499999999999993" customHeight="1">
      <c r="A308" s="31">
        <v>210091034161</v>
      </c>
      <c r="B308" s="32" t="s">
        <v>74</v>
      </c>
      <c r="C308" s="33">
        <v>46111</v>
      </c>
      <c r="D308" s="32" t="s">
        <v>71</v>
      </c>
      <c r="E308" s="42">
        <v>-283.02999999999997</v>
      </c>
      <c r="F308" s="42">
        <v>0</v>
      </c>
      <c r="G308" s="40">
        <f t="shared" si="4"/>
        <v>595406.23000000033</v>
      </c>
    </row>
    <row r="309" spans="1:7" ht="9.9499999999999993" customHeight="1">
      <c r="A309" s="35">
        <v>329272808015</v>
      </c>
      <c r="B309" s="36" t="s">
        <v>119</v>
      </c>
      <c r="C309" s="28">
        <v>46111</v>
      </c>
      <c r="D309" s="36" t="s">
        <v>71</v>
      </c>
      <c r="E309" s="40">
        <v>-70000</v>
      </c>
      <c r="F309" s="40">
        <v>0</v>
      </c>
      <c r="G309" s="40">
        <f t="shared" si="4"/>
        <v>525406.23000000033</v>
      </c>
    </row>
    <row r="310" spans="1:7" ht="9.9499999999999993" customHeight="1">
      <c r="A310" s="31">
        <v>676272808015</v>
      </c>
      <c r="B310" s="32" t="s">
        <v>78</v>
      </c>
      <c r="C310" s="33">
        <v>46111</v>
      </c>
      <c r="D310" s="32" t="s">
        <v>71</v>
      </c>
      <c r="E310" s="42">
        <v>-175</v>
      </c>
      <c r="F310" s="42">
        <v>0</v>
      </c>
      <c r="G310" s="40">
        <f t="shared" si="4"/>
        <v>525231.23000000033</v>
      </c>
    </row>
    <row r="311" spans="1:7" ht="9.9499999999999993" customHeight="1">
      <c r="A311" s="35">
        <v>329272809048</v>
      </c>
      <c r="B311" s="36" t="s">
        <v>120</v>
      </c>
      <c r="C311" s="28">
        <v>46111</v>
      </c>
      <c r="D311" s="36" t="s">
        <v>71</v>
      </c>
      <c r="E311" s="40">
        <v>-30000</v>
      </c>
      <c r="F311" s="40">
        <v>0</v>
      </c>
      <c r="G311" s="40">
        <f t="shared" si="4"/>
        <v>495231.23000000033</v>
      </c>
    </row>
    <row r="312" spans="1:7" ht="9.9499999999999993" customHeight="1">
      <c r="A312" s="31">
        <v>676272809048</v>
      </c>
      <c r="B312" s="32" t="s">
        <v>78</v>
      </c>
      <c r="C312" s="33">
        <v>46111</v>
      </c>
      <c r="D312" s="32" t="s">
        <v>71</v>
      </c>
      <c r="E312" s="42">
        <v>-75</v>
      </c>
      <c r="F312" s="42">
        <v>0</v>
      </c>
      <c r="G312" s="40">
        <f t="shared" si="4"/>
        <v>495156.23000000033</v>
      </c>
    </row>
    <row r="313" spans="1:7" ht="9.9499999999999993" customHeight="1">
      <c r="A313" s="35">
        <v>50920464987</v>
      </c>
      <c r="B313" s="36" t="s">
        <v>83</v>
      </c>
      <c r="C313" s="28">
        <v>46112</v>
      </c>
      <c r="D313" s="37" t="s">
        <v>73</v>
      </c>
      <c r="E313" s="40">
        <v>0</v>
      </c>
      <c r="F313" s="40">
        <v>23693.51</v>
      </c>
      <c r="G313" s="40">
        <f t="shared" si="4"/>
        <v>518849.74000000034</v>
      </c>
    </row>
    <row r="314" spans="1:7" ht="9.9499999999999993" customHeight="1">
      <c r="A314" s="31">
        <v>27220464987</v>
      </c>
      <c r="B314" s="32" t="s">
        <v>76</v>
      </c>
      <c r="C314" s="33">
        <v>46112</v>
      </c>
      <c r="D314" s="32" t="s">
        <v>71</v>
      </c>
      <c r="E314" s="42">
        <v>-355.4</v>
      </c>
      <c r="F314" s="42">
        <v>0</v>
      </c>
      <c r="G314" s="40">
        <f t="shared" si="4"/>
        <v>518494.34000000032</v>
      </c>
    </row>
    <row r="315" spans="1:7" ht="9.9499999999999993" customHeight="1">
      <c r="A315" s="35">
        <v>329273445825</v>
      </c>
      <c r="B315" s="36" t="s">
        <v>121</v>
      </c>
      <c r="C315" s="28">
        <v>46112</v>
      </c>
      <c r="D315" s="36" t="s">
        <v>71</v>
      </c>
      <c r="E315" s="40">
        <v>-12000</v>
      </c>
      <c r="F315" s="40">
        <v>0</v>
      </c>
      <c r="G315" s="40">
        <f t="shared" si="4"/>
        <v>506494.34000000032</v>
      </c>
    </row>
    <row r="316" spans="1:7" ht="9.9499999999999993" customHeight="1">
      <c r="A316" s="31">
        <v>676273445825</v>
      </c>
      <c r="B316" s="32" t="s">
        <v>78</v>
      </c>
      <c r="C316" s="33">
        <v>46112</v>
      </c>
      <c r="D316" s="32" t="s">
        <v>71</v>
      </c>
      <c r="E316" s="42">
        <v>-30</v>
      </c>
      <c r="F316" s="42">
        <v>0</v>
      </c>
      <c r="G316" s="40">
        <f t="shared" si="4"/>
        <v>506464.34000000032</v>
      </c>
    </row>
    <row r="317" spans="1:7" ht="9.9499999999999993" customHeight="1">
      <c r="A317" s="35">
        <v>677293633513</v>
      </c>
      <c r="B317" s="36" t="s">
        <v>114</v>
      </c>
      <c r="C317" s="28">
        <v>46112</v>
      </c>
      <c r="D317" s="37" t="s">
        <v>73</v>
      </c>
      <c r="E317" s="40">
        <v>0</v>
      </c>
      <c r="F317" s="40">
        <v>47387.02</v>
      </c>
      <c r="G317" s="40">
        <f t="shared" si="4"/>
        <v>553851.36000000034</v>
      </c>
    </row>
    <row r="318" spans="1:7" ht="9.9499999999999993" customHeight="1">
      <c r="A318" s="31">
        <v>210093633513</v>
      </c>
      <c r="B318" s="32" t="s">
        <v>74</v>
      </c>
      <c r="C318" s="33">
        <v>46112</v>
      </c>
      <c r="D318" s="32" t="s">
        <v>71</v>
      </c>
      <c r="E318" s="42">
        <v>-710.81</v>
      </c>
      <c r="F318" s="42">
        <v>0</v>
      </c>
      <c r="G318" s="40">
        <f t="shared" si="4"/>
        <v>553140.55000000028</v>
      </c>
    </row>
    <row r="319" spans="1:7" ht="9.9499999999999993" customHeight="1">
      <c r="A319" s="35">
        <v>50904687277</v>
      </c>
      <c r="B319" s="36" t="s">
        <v>81</v>
      </c>
      <c r="C319" s="28">
        <v>46112</v>
      </c>
      <c r="D319" s="37" t="s">
        <v>73</v>
      </c>
      <c r="E319" s="40">
        <v>0</v>
      </c>
      <c r="F319" s="40">
        <v>37909.599999999999</v>
      </c>
      <c r="G319" s="40">
        <f t="shared" si="4"/>
        <v>591050.15000000026</v>
      </c>
    </row>
    <row r="320" spans="1:7" ht="9.9499999999999993" customHeight="1">
      <c r="A320" s="31">
        <v>27204687277</v>
      </c>
      <c r="B320" s="32" t="s">
        <v>76</v>
      </c>
      <c r="C320" s="33">
        <v>46112</v>
      </c>
      <c r="D320" s="32" t="s">
        <v>71</v>
      </c>
      <c r="E320" s="42">
        <v>-568.64</v>
      </c>
      <c r="F320" s="42">
        <v>0</v>
      </c>
      <c r="G320" s="40">
        <f t="shared" si="4"/>
        <v>590481.51000000024</v>
      </c>
    </row>
  </sheetData>
  <autoFilter ref="A2:G320" xr:uid="{1E24E835-7775-433C-BCE9-8DE57AC31BC9}"/>
  <mergeCells count="1"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sqref="A1:XFD1048576"/>
    </sheetView>
  </sheetViews>
  <sheetFormatPr baseColWidth="10" defaultColWidth="9.33203125" defaultRowHeight="12.75"/>
  <cols>
    <col min="1" max="1" width="18.83203125" customWidth="1"/>
    <col min="2" max="2" width="55.5" customWidth="1"/>
    <col min="3" max="3" width="14" customWidth="1"/>
    <col min="4" max="4" width="6.6640625" customWidth="1"/>
    <col min="5" max="5" width="14.1640625" customWidth="1"/>
    <col min="6" max="6" width="12.5" customWidth="1"/>
    <col min="7" max="7" width="13.5" customWidth="1"/>
  </cols>
  <sheetData>
    <row r="1" spans="1:7" ht="21.6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7" ht="21.6" customHeight="1">
      <c r="A2" s="45" t="s">
        <v>7</v>
      </c>
      <c r="B2" s="45"/>
      <c r="C2" s="3">
        <v>46082</v>
      </c>
      <c r="D2" s="4" t="s">
        <v>8</v>
      </c>
      <c r="E2" s="5">
        <v>0</v>
      </c>
      <c r="F2" s="6">
        <v>0</v>
      </c>
      <c r="G2" s="7">
        <v>625269.51</v>
      </c>
    </row>
    <row r="3" spans="1:7" ht="243" customHeight="1"/>
    <row r="4" spans="1:7" ht="17.100000000000001" customHeight="1">
      <c r="A4" s="8">
        <v>120200001002</v>
      </c>
      <c r="B4" s="9" t="s">
        <v>9</v>
      </c>
      <c r="C4" s="10">
        <v>46082</v>
      </c>
      <c r="D4" s="11" t="s">
        <v>10</v>
      </c>
      <c r="E4" s="12">
        <v>-8</v>
      </c>
      <c r="F4" s="13">
        <v>0</v>
      </c>
      <c r="G4" s="14">
        <v>625261.51</v>
      </c>
    </row>
    <row r="5" spans="1:7" ht="33" customHeight="1">
      <c r="A5" s="15">
        <v>677234287733</v>
      </c>
      <c r="B5" s="16" t="s">
        <v>11</v>
      </c>
      <c r="C5" s="17">
        <v>46082</v>
      </c>
      <c r="D5" s="18" t="s">
        <v>12</v>
      </c>
      <c r="E5" s="5">
        <v>0</v>
      </c>
      <c r="F5" s="7">
        <v>33389</v>
      </c>
      <c r="G5" s="19">
        <v>658650.51</v>
      </c>
    </row>
    <row r="6" spans="1:7" ht="21.6" customHeight="1">
      <c r="A6" s="8">
        <v>210034287733</v>
      </c>
      <c r="B6" s="9" t="s">
        <v>13</v>
      </c>
      <c r="C6" s="10">
        <v>46082</v>
      </c>
      <c r="D6" s="11" t="s">
        <v>10</v>
      </c>
      <c r="E6" s="12">
        <v>-500.84</v>
      </c>
      <c r="F6" s="13">
        <v>0</v>
      </c>
      <c r="G6" s="14">
        <v>658149.67000000004</v>
      </c>
    </row>
    <row r="7" spans="1:7" ht="21.6" customHeight="1">
      <c r="A7" s="15">
        <v>50957271294</v>
      </c>
      <c r="B7" s="16" t="s">
        <v>14</v>
      </c>
      <c r="C7" s="17">
        <v>46082</v>
      </c>
      <c r="D7" s="18" t="s">
        <v>12</v>
      </c>
      <c r="E7" s="5">
        <v>0</v>
      </c>
      <c r="F7" s="7">
        <v>21000</v>
      </c>
      <c r="G7" s="19">
        <v>679149.67</v>
      </c>
    </row>
    <row r="8" spans="1:7" ht="21.6" customHeight="1">
      <c r="A8" s="8">
        <v>27257271294</v>
      </c>
      <c r="B8" s="9" t="s">
        <v>15</v>
      </c>
      <c r="C8" s="10">
        <v>46082</v>
      </c>
      <c r="D8" s="11" t="s">
        <v>10</v>
      </c>
      <c r="E8" s="12">
        <v>-315</v>
      </c>
      <c r="F8" s="13">
        <v>0</v>
      </c>
      <c r="G8" s="14">
        <v>678834.67</v>
      </c>
    </row>
    <row r="9" spans="1:7" ht="33" customHeight="1">
      <c r="A9" s="15">
        <v>329256266241</v>
      </c>
      <c r="B9" s="16" t="s">
        <v>16</v>
      </c>
      <c r="C9" s="17">
        <v>46082</v>
      </c>
      <c r="D9" s="18" t="s">
        <v>10</v>
      </c>
      <c r="E9" s="20">
        <v>-20000</v>
      </c>
      <c r="F9" s="6">
        <v>0</v>
      </c>
      <c r="G9" s="19">
        <v>658834.67000000004</v>
      </c>
    </row>
    <row r="10" spans="1:7" ht="21.6" customHeight="1">
      <c r="A10" s="8">
        <v>676256266241</v>
      </c>
      <c r="B10" s="9" t="s">
        <v>17</v>
      </c>
      <c r="C10" s="10">
        <v>46082</v>
      </c>
      <c r="D10" s="11" t="s">
        <v>10</v>
      </c>
      <c r="E10" s="12">
        <v>-50</v>
      </c>
      <c r="F10" s="13">
        <v>0</v>
      </c>
      <c r="G10" s="14">
        <v>658784.67000000004</v>
      </c>
    </row>
    <row r="11" spans="1:7" ht="33" customHeight="1">
      <c r="A11" s="15">
        <v>329256266779</v>
      </c>
      <c r="B11" s="16" t="s">
        <v>18</v>
      </c>
      <c r="C11" s="17">
        <v>46082</v>
      </c>
      <c r="D11" s="18" t="s">
        <v>10</v>
      </c>
      <c r="E11" s="20">
        <v>-15000</v>
      </c>
      <c r="F11" s="6">
        <v>0</v>
      </c>
      <c r="G11" s="19">
        <v>643784.67000000004</v>
      </c>
    </row>
    <row r="12" spans="1:7" ht="21.6" customHeight="1">
      <c r="A12" s="8">
        <v>676256266779</v>
      </c>
      <c r="B12" s="9" t="s">
        <v>17</v>
      </c>
      <c r="C12" s="10">
        <v>46082</v>
      </c>
      <c r="D12" s="11" t="s">
        <v>10</v>
      </c>
      <c r="E12" s="12">
        <v>-37.5</v>
      </c>
      <c r="F12" s="13">
        <v>0</v>
      </c>
      <c r="G12" s="14">
        <v>643747.17000000004</v>
      </c>
    </row>
    <row r="13" spans="1:7" ht="33" customHeight="1">
      <c r="A13" s="15">
        <v>329256271327</v>
      </c>
      <c r="B13" s="16" t="s">
        <v>19</v>
      </c>
      <c r="C13" s="17">
        <v>46082</v>
      </c>
      <c r="D13" s="18" t="s">
        <v>10</v>
      </c>
      <c r="E13" s="20">
        <v>-18000</v>
      </c>
      <c r="F13" s="6">
        <v>0</v>
      </c>
      <c r="G13" s="19">
        <v>625747.17000000004</v>
      </c>
    </row>
    <row r="14" spans="1:7" ht="15.6" customHeight="1">
      <c r="A14" s="8">
        <v>676256271327</v>
      </c>
      <c r="B14" s="9" t="s">
        <v>17</v>
      </c>
      <c r="C14" s="10">
        <v>46082</v>
      </c>
      <c r="D14" s="11" t="s">
        <v>10</v>
      </c>
      <c r="E14" s="12">
        <v>-45</v>
      </c>
      <c r="F14" s="13">
        <v>0</v>
      </c>
      <c r="G14" s="14">
        <v>625702.17000000004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A2" sqref="A2:G17"/>
    </sheetView>
  </sheetViews>
  <sheetFormatPr baseColWidth="10" defaultColWidth="9.33203125" defaultRowHeight="12.75"/>
  <cols>
    <col min="1" max="1" width="18.83203125" customWidth="1"/>
    <col min="2" max="2" width="55.5" customWidth="1"/>
    <col min="3" max="3" width="14" customWidth="1"/>
    <col min="4" max="4" width="6.6640625" customWidth="1"/>
    <col min="5" max="5" width="14.1640625" customWidth="1"/>
    <col min="6" max="6" width="12.5" customWidth="1"/>
    <col min="7" max="7" width="13.5" customWidth="1"/>
  </cols>
  <sheetData>
    <row r="1" spans="1:7" ht="21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" customHeight="1">
      <c r="A2" s="21">
        <v>50910551155</v>
      </c>
      <c r="B2" s="16" t="s">
        <v>20</v>
      </c>
      <c r="C2" s="22">
        <v>46083</v>
      </c>
      <c r="D2" s="16" t="s">
        <v>12</v>
      </c>
      <c r="E2" s="6">
        <v>0</v>
      </c>
      <c r="F2" s="7">
        <v>13440</v>
      </c>
      <c r="G2" s="7">
        <v>639142.17000000004</v>
      </c>
    </row>
    <row r="3" spans="1:7" ht="17.100000000000001" customHeight="1">
      <c r="A3" s="8">
        <v>27210551155</v>
      </c>
      <c r="B3" s="9" t="s">
        <v>15</v>
      </c>
      <c r="C3" s="23">
        <v>46083</v>
      </c>
      <c r="D3" s="9" t="s">
        <v>10</v>
      </c>
      <c r="E3" s="13">
        <v>-201.6</v>
      </c>
      <c r="F3" s="13">
        <v>0</v>
      </c>
      <c r="G3" s="14">
        <v>638940.56999999995</v>
      </c>
    </row>
    <row r="4" spans="1:7" ht="33" customHeight="1">
      <c r="A4" s="15">
        <v>329256321817</v>
      </c>
      <c r="B4" s="16" t="s">
        <v>21</v>
      </c>
      <c r="C4" s="22">
        <v>46083</v>
      </c>
      <c r="D4" s="16" t="s">
        <v>10</v>
      </c>
      <c r="E4" s="7">
        <v>-300000</v>
      </c>
      <c r="F4" s="6">
        <v>0</v>
      </c>
      <c r="G4" s="19">
        <v>338940.57</v>
      </c>
    </row>
    <row r="5" spans="1:7" ht="21.6" customHeight="1">
      <c r="A5" s="8">
        <v>676256321817</v>
      </c>
      <c r="B5" s="9" t="s">
        <v>17</v>
      </c>
      <c r="C5" s="23">
        <v>46083</v>
      </c>
      <c r="D5" s="9" t="s">
        <v>10</v>
      </c>
      <c r="E5" s="13">
        <v>-750</v>
      </c>
      <c r="F5" s="13">
        <v>0</v>
      </c>
      <c r="G5" s="14">
        <v>338190.57</v>
      </c>
    </row>
    <row r="6" spans="1:7" ht="33" customHeight="1">
      <c r="A6" s="15">
        <v>50957523097</v>
      </c>
      <c r="B6" s="16" t="s">
        <v>14</v>
      </c>
      <c r="C6" s="22">
        <v>46083</v>
      </c>
      <c r="D6" s="16" t="s">
        <v>12</v>
      </c>
      <c r="E6" s="6">
        <v>0</v>
      </c>
      <c r="F6" s="7">
        <v>16800</v>
      </c>
      <c r="G6" s="19">
        <v>354990.57</v>
      </c>
    </row>
    <row r="7" spans="1:7" ht="21.6" customHeight="1">
      <c r="A7" s="8">
        <v>27257523097</v>
      </c>
      <c r="B7" s="9" t="s">
        <v>15</v>
      </c>
      <c r="C7" s="23">
        <v>46083</v>
      </c>
      <c r="D7" s="9" t="s">
        <v>10</v>
      </c>
      <c r="E7" s="13">
        <v>-252</v>
      </c>
      <c r="F7" s="13">
        <v>0</v>
      </c>
      <c r="G7" s="14">
        <v>354738.57</v>
      </c>
    </row>
    <row r="8" spans="1:7" ht="33" customHeight="1">
      <c r="A8" s="15">
        <v>50957548927</v>
      </c>
      <c r="B8" s="16" t="s">
        <v>14</v>
      </c>
      <c r="C8" s="22">
        <v>46083</v>
      </c>
      <c r="D8" s="16" t="s">
        <v>12</v>
      </c>
      <c r="E8" s="6">
        <v>0</v>
      </c>
      <c r="F8" s="7">
        <v>25200</v>
      </c>
      <c r="G8" s="19">
        <v>379938.57</v>
      </c>
    </row>
    <row r="9" spans="1:7" ht="21.6" customHeight="1">
      <c r="A9" s="8">
        <v>27257548927</v>
      </c>
      <c r="B9" s="9" t="s">
        <v>15</v>
      </c>
      <c r="C9" s="23">
        <v>46083</v>
      </c>
      <c r="D9" s="9" t="s">
        <v>10</v>
      </c>
      <c r="E9" s="13">
        <v>-378</v>
      </c>
      <c r="F9" s="13">
        <v>0</v>
      </c>
      <c r="G9" s="14">
        <v>379560.57</v>
      </c>
    </row>
    <row r="10" spans="1:7" ht="33" customHeight="1">
      <c r="A10" s="15">
        <v>50993976103</v>
      </c>
      <c r="B10" s="16" t="s">
        <v>22</v>
      </c>
      <c r="C10" s="22">
        <v>46083</v>
      </c>
      <c r="D10" s="16" t="s">
        <v>12</v>
      </c>
      <c r="E10" s="6">
        <v>0</v>
      </c>
      <c r="F10" s="7">
        <v>25199.24</v>
      </c>
      <c r="G10" s="19">
        <v>404759.81</v>
      </c>
    </row>
    <row r="11" spans="1:7" ht="21.6" customHeight="1">
      <c r="A11" s="8">
        <v>27293976103</v>
      </c>
      <c r="B11" s="9" t="s">
        <v>15</v>
      </c>
      <c r="C11" s="23">
        <v>46083</v>
      </c>
      <c r="D11" s="9" t="s">
        <v>10</v>
      </c>
      <c r="E11" s="13">
        <v>-377.99</v>
      </c>
      <c r="F11" s="13">
        <v>0</v>
      </c>
      <c r="G11" s="14">
        <v>404381.82</v>
      </c>
    </row>
    <row r="12" spans="1:7" ht="33" customHeight="1">
      <c r="A12" s="15">
        <v>677238338942</v>
      </c>
      <c r="B12" s="16" t="s">
        <v>11</v>
      </c>
      <c r="C12" s="22">
        <v>46084</v>
      </c>
      <c r="D12" s="16" t="s">
        <v>12</v>
      </c>
      <c r="E12" s="6">
        <v>0</v>
      </c>
      <c r="F12" s="7">
        <v>48938</v>
      </c>
      <c r="G12" s="19">
        <v>453319.82</v>
      </c>
    </row>
    <row r="13" spans="1:7" ht="21.6" customHeight="1">
      <c r="A13" s="8">
        <v>210038338942</v>
      </c>
      <c r="B13" s="9" t="s">
        <v>13</v>
      </c>
      <c r="C13" s="23">
        <v>46084</v>
      </c>
      <c r="D13" s="9" t="s">
        <v>10</v>
      </c>
      <c r="E13" s="13">
        <v>-734.07</v>
      </c>
      <c r="F13" s="13">
        <v>0</v>
      </c>
      <c r="G13" s="14">
        <v>452585.75</v>
      </c>
    </row>
    <row r="14" spans="1:7" ht="33" customHeight="1">
      <c r="A14" s="15">
        <v>329256414875</v>
      </c>
      <c r="B14" s="16" t="s">
        <v>23</v>
      </c>
      <c r="C14" s="22">
        <v>46084</v>
      </c>
      <c r="D14" s="16" t="s">
        <v>10</v>
      </c>
      <c r="E14" s="7">
        <v>-200000</v>
      </c>
      <c r="F14" s="6">
        <v>0</v>
      </c>
      <c r="G14" s="19">
        <v>252585.75</v>
      </c>
    </row>
    <row r="15" spans="1:7" ht="15.6" customHeight="1">
      <c r="A15" s="8">
        <v>676256414875</v>
      </c>
      <c r="B15" s="9" t="s">
        <v>17</v>
      </c>
      <c r="C15" s="23">
        <v>46084</v>
      </c>
      <c r="D15" s="9" t="s">
        <v>10</v>
      </c>
      <c r="E15" s="13">
        <v>-500</v>
      </c>
      <c r="F15" s="13">
        <v>0</v>
      </c>
      <c r="G15" s="14">
        <v>252085.75</v>
      </c>
    </row>
    <row r="16" spans="1:7" ht="21.6" customHeight="1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 ht="33" customHeight="1">
      <c r="A17" s="21">
        <v>677238736592</v>
      </c>
      <c r="B17" s="16" t="s">
        <v>11</v>
      </c>
      <c r="C17" s="22">
        <v>46084</v>
      </c>
      <c r="D17" s="16" t="s">
        <v>12</v>
      </c>
      <c r="E17" s="6">
        <v>0</v>
      </c>
      <c r="F17" s="7">
        <v>29532</v>
      </c>
      <c r="G17" s="7">
        <v>281617.75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5" customWidth="1"/>
    <col min="3" max="3" width="14" customWidth="1"/>
    <col min="4" max="4" width="6.6640625" customWidth="1"/>
    <col min="5" max="5" width="14.1640625" customWidth="1"/>
    <col min="6" max="6" width="12.5" customWidth="1"/>
    <col min="7" max="7" width="13.5" customWidth="1"/>
  </cols>
  <sheetData>
    <row r="1" spans="1:7" ht="17.100000000000001" customHeight="1">
      <c r="A1" s="8">
        <v>210038736592</v>
      </c>
      <c r="B1" s="9" t="s">
        <v>13</v>
      </c>
      <c r="C1" s="23">
        <v>46084</v>
      </c>
      <c r="D1" s="9" t="s">
        <v>10</v>
      </c>
      <c r="E1" s="13">
        <v>-442.98</v>
      </c>
      <c r="F1" s="13">
        <v>0</v>
      </c>
      <c r="G1" s="14">
        <v>281174.77</v>
      </c>
    </row>
    <row r="2" spans="1:7" ht="33" customHeight="1">
      <c r="A2" s="15">
        <v>677238861565</v>
      </c>
      <c r="B2" s="16" t="s">
        <v>24</v>
      </c>
      <c r="C2" s="22">
        <v>46084</v>
      </c>
      <c r="D2" s="16" t="s">
        <v>12</v>
      </c>
      <c r="E2" s="6">
        <v>0</v>
      </c>
      <c r="F2" s="7">
        <v>84375.44</v>
      </c>
      <c r="G2" s="19">
        <v>365550.21</v>
      </c>
    </row>
    <row r="3" spans="1:7" ht="21.6" customHeight="1">
      <c r="A3" s="8">
        <v>210038861565</v>
      </c>
      <c r="B3" s="9" t="s">
        <v>13</v>
      </c>
      <c r="C3" s="23">
        <v>46084</v>
      </c>
      <c r="D3" s="9" t="s">
        <v>10</v>
      </c>
      <c r="E3" s="24">
        <v>-1265.6300000000001</v>
      </c>
      <c r="F3" s="13">
        <v>0</v>
      </c>
      <c r="G3" s="14">
        <v>364284.58</v>
      </c>
    </row>
    <row r="4" spans="1:7" ht="33" customHeight="1">
      <c r="A4" s="15">
        <v>50957906511</v>
      </c>
      <c r="B4" s="16" t="s">
        <v>14</v>
      </c>
      <c r="C4" s="22">
        <v>46084</v>
      </c>
      <c r="D4" s="16" t="s">
        <v>12</v>
      </c>
      <c r="E4" s="6">
        <v>0</v>
      </c>
      <c r="F4" s="7">
        <v>8400</v>
      </c>
      <c r="G4" s="19">
        <v>372684.58</v>
      </c>
    </row>
    <row r="5" spans="1:7" ht="21.6" customHeight="1">
      <c r="A5" s="8">
        <v>27257906511</v>
      </c>
      <c r="B5" s="9" t="s">
        <v>15</v>
      </c>
      <c r="C5" s="23">
        <v>46084</v>
      </c>
      <c r="D5" s="9" t="s">
        <v>10</v>
      </c>
      <c r="E5" s="13">
        <v>-126</v>
      </c>
      <c r="F5" s="13">
        <v>0</v>
      </c>
      <c r="G5" s="14">
        <v>372558.58</v>
      </c>
    </row>
    <row r="6" spans="1:7" ht="33" customHeight="1">
      <c r="A6" s="15">
        <v>50994868370</v>
      </c>
      <c r="B6" s="16" t="s">
        <v>22</v>
      </c>
      <c r="C6" s="22">
        <v>46084</v>
      </c>
      <c r="D6" s="16" t="s">
        <v>12</v>
      </c>
      <c r="E6" s="6">
        <v>0</v>
      </c>
      <c r="F6" s="7">
        <v>29531.4</v>
      </c>
      <c r="G6" s="19">
        <v>402089.98</v>
      </c>
    </row>
    <row r="7" spans="1:7" ht="21.6" customHeight="1">
      <c r="A7" s="8">
        <v>27294868370</v>
      </c>
      <c r="B7" s="9" t="s">
        <v>15</v>
      </c>
      <c r="C7" s="23">
        <v>46084</v>
      </c>
      <c r="D7" s="9" t="s">
        <v>10</v>
      </c>
      <c r="E7" s="13">
        <v>-442.97</v>
      </c>
      <c r="F7" s="13">
        <v>0</v>
      </c>
      <c r="G7" s="14">
        <v>401647.01</v>
      </c>
    </row>
    <row r="8" spans="1:7" ht="33" customHeight="1">
      <c r="A8" s="15">
        <v>50990009590</v>
      </c>
      <c r="B8" s="16" t="s">
        <v>25</v>
      </c>
      <c r="C8" s="22">
        <v>46085</v>
      </c>
      <c r="D8" s="16" t="s">
        <v>12</v>
      </c>
      <c r="E8" s="6">
        <v>0</v>
      </c>
      <c r="F8" s="7">
        <v>24012.28</v>
      </c>
      <c r="G8" s="19">
        <v>425659.29</v>
      </c>
    </row>
    <row r="9" spans="1:7" ht="21.6" customHeight="1">
      <c r="A9" s="8">
        <v>27290009590</v>
      </c>
      <c r="B9" s="9" t="s">
        <v>15</v>
      </c>
      <c r="C9" s="23">
        <v>46085</v>
      </c>
      <c r="D9" s="9" t="s">
        <v>10</v>
      </c>
      <c r="E9" s="13">
        <v>-360.18</v>
      </c>
      <c r="F9" s="13">
        <v>0</v>
      </c>
      <c r="G9" s="14">
        <v>425299.11</v>
      </c>
    </row>
    <row r="10" spans="1:7" ht="33" customHeight="1">
      <c r="A10" s="15">
        <v>329256655608</v>
      </c>
      <c r="B10" s="16" t="s">
        <v>26</v>
      </c>
      <c r="C10" s="22">
        <v>46085</v>
      </c>
      <c r="D10" s="16" t="s">
        <v>10</v>
      </c>
      <c r="E10" s="7">
        <v>-40000</v>
      </c>
      <c r="F10" s="6">
        <v>0</v>
      </c>
      <c r="G10" s="19">
        <v>385299.11</v>
      </c>
    </row>
    <row r="11" spans="1:7" ht="21.6" customHeight="1">
      <c r="A11" s="8">
        <v>676256655608</v>
      </c>
      <c r="B11" s="9" t="s">
        <v>17</v>
      </c>
      <c r="C11" s="23">
        <v>46085</v>
      </c>
      <c r="D11" s="9" t="s">
        <v>10</v>
      </c>
      <c r="E11" s="13">
        <v>-100</v>
      </c>
      <c r="F11" s="13">
        <v>0</v>
      </c>
      <c r="G11" s="14">
        <v>385199.11</v>
      </c>
    </row>
    <row r="12" spans="1:7" ht="33" customHeight="1">
      <c r="A12" s="15">
        <v>50936646634</v>
      </c>
      <c r="B12" s="16" t="s">
        <v>20</v>
      </c>
      <c r="C12" s="22">
        <v>46085</v>
      </c>
      <c r="D12" s="16" t="s">
        <v>12</v>
      </c>
      <c r="E12" s="6">
        <v>0</v>
      </c>
      <c r="F12" s="7">
        <v>21283.5</v>
      </c>
      <c r="G12" s="19">
        <v>406482.61</v>
      </c>
    </row>
    <row r="13" spans="1:7" ht="15.6" customHeight="1">
      <c r="A13" s="8">
        <v>27236646634</v>
      </c>
      <c r="B13" s="9" t="s">
        <v>15</v>
      </c>
      <c r="C13" s="23">
        <v>46085</v>
      </c>
      <c r="D13" s="9" t="s">
        <v>10</v>
      </c>
      <c r="E13" s="13">
        <v>-319.25</v>
      </c>
      <c r="F13" s="13">
        <v>0</v>
      </c>
      <c r="G13" s="14">
        <v>406163.36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21">
        <v>50958092263</v>
      </c>
      <c r="B15" s="16" t="s">
        <v>14</v>
      </c>
      <c r="C15" s="22">
        <v>46085</v>
      </c>
      <c r="D15" s="16" t="s">
        <v>12</v>
      </c>
      <c r="E15" s="6">
        <v>0</v>
      </c>
      <c r="F15" s="7">
        <v>12770</v>
      </c>
      <c r="G15" s="7">
        <v>418933.36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5" customWidth="1"/>
    <col min="3" max="3" width="14" customWidth="1"/>
    <col min="4" max="4" width="6.6640625" customWidth="1"/>
    <col min="5" max="5" width="14.1640625" customWidth="1"/>
    <col min="6" max="6" width="12.5" customWidth="1"/>
    <col min="7" max="7" width="13.5" customWidth="1"/>
  </cols>
  <sheetData>
    <row r="1" spans="1:7" ht="17.100000000000001" customHeight="1">
      <c r="A1" s="8">
        <v>27258092263</v>
      </c>
      <c r="B1" s="9" t="s">
        <v>15</v>
      </c>
      <c r="C1" s="23">
        <v>46085</v>
      </c>
      <c r="D1" s="9" t="s">
        <v>10</v>
      </c>
      <c r="E1" s="13">
        <v>-191.55</v>
      </c>
      <c r="F1" s="13">
        <v>0</v>
      </c>
      <c r="G1" s="24">
        <v>418741.81</v>
      </c>
    </row>
    <row r="2" spans="1:7" ht="33" customHeight="1">
      <c r="A2" s="15">
        <v>329256704772</v>
      </c>
      <c r="B2" s="16" t="s">
        <v>27</v>
      </c>
      <c r="C2" s="22">
        <v>46085</v>
      </c>
      <c r="D2" s="16" t="s">
        <v>10</v>
      </c>
      <c r="E2" s="7">
        <v>-50000</v>
      </c>
      <c r="F2" s="6">
        <v>0</v>
      </c>
      <c r="G2" s="7">
        <v>368741.81</v>
      </c>
    </row>
    <row r="3" spans="1:7" ht="21.6" customHeight="1">
      <c r="A3" s="8">
        <v>676256704772</v>
      </c>
      <c r="B3" s="9" t="s">
        <v>17</v>
      </c>
      <c r="C3" s="23">
        <v>46085</v>
      </c>
      <c r="D3" s="9" t="s">
        <v>10</v>
      </c>
      <c r="E3" s="13">
        <v>-125</v>
      </c>
      <c r="F3" s="13">
        <v>0</v>
      </c>
      <c r="G3" s="24">
        <v>368616.81</v>
      </c>
    </row>
    <row r="4" spans="1:7" ht="33" customHeight="1">
      <c r="A4" s="15">
        <v>50995769684</v>
      </c>
      <c r="B4" s="16" t="s">
        <v>22</v>
      </c>
      <c r="C4" s="22">
        <v>46085</v>
      </c>
      <c r="D4" s="16" t="s">
        <v>12</v>
      </c>
      <c r="E4" s="6">
        <v>0</v>
      </c>
      <c r="F4" s="7">
        <v>21283.71</v>
      </c>
      <c r="G4" s="7">
        <v>389900.52</v>
      </c>
    </row>
    <row r="5" spans="1:7" ht="21.6" customHeight="1">
      <c r="A5" s="8">
        <v>27295769684</v>
      </c>
      <c r="B5" s="9" t="s">
        <v>15</v>
      </c>
      <c r="C5" s="23">
        <v>46085</v>
      </c>
      <c r="D5" s="9" t="s">
        <v>10</v>
      </c>
      <c r="E5" s="13">
        <v>-319.26</v>
      </c>
      <c r="F5" s="13">
        <v>0</v>
      </c>
      <c r="G5" s="24">
        <v>389581.26</v>
      </c>
    </row>
    <row r="6" spans="1:7" ht="33" customHeight="1">
      <c r="A6" s="15">
        <v>329256845194</v>
      </c>
      <c r="B6" s="16" t="s">
        <v>28</v>
      </c>
      <c r="C6" s="22">
        <v>46086</v>
      </c>
      <c r="D6" s="16" t="s">
        <v>10</v>
      </c>
      <c r="E6" s="7">
        <v>-300000</v>
      </c>
      <c r="F6" s="6">
        <v>0</v>
      </c>
      <c r="G6" s="7">
        <v>89581.26</v>
      </c>
    </row>
    <row r="7" spans="1:7" ht="21.6" customHeight="1">
      <c r="A7" s="8">
        <v>676256845194</v>
      </c>
      <c r="B7" s="9" t="s">
        <v>17</v>
      </c>
      <c r="C7" s="23">
        <v>46086</v>
      </c>
      <c r="D7" s="9" t="s">
        <v>10</v>
      </c>
      <c r="E7" s="13">
        <v>-750</v>
      </c>
      <c r="F7" s="13">
        <v>0</v>
      </c>
      <c r="G7" s="24">
        <v>88831.26</v>
      </c>
    </row>
    <row r="8" spans="1:7" ht="33" customHeight="1">
      <c r="A8" s="15">
        <v>50958469124</v>
      </c>
      <c r="B8" s="16" t="s">
        <v>14</v>
      </c>
      <c r="C8" s="22">
        <v>46086</v>
      </c>
      <c r="D8" s="16" t="s">
        <v>12</v>
      </c>
      <c r="E8" s="6">
        <v>0</v>
      </c>
      <c r="F8" s="7">
        <v>4500</v>
      </c>
      <c r="G8" s="7">
        <v>93331.26</v>
      </c>
    </row>
    <row r="9" spans="1:7" ht="21.6" customHeight="1">
      <c r="A9" s="8">
        <v>27258469124</v>
      </c>
      <c r="B9" s="9" t="s">
        <v>15</v>
      </c>
      <c r="C9" s="23">
        <v>46086</v>
      </c>
      <c r="D9" s="9" t="s">
        <v>10</v>
      </c>
      <c r="E9" s="13">
        <v>-67.5</v>
      </c>
      <c r="F9" s="13">
        <v>0</v>
      </c>
      <c r="G9" s="24">
        <v>93263.76</v>
      </c>
    </row>
    <row r="10" spans="1:7" ht="33" customHeight="1">
      <c r="A10" s="15">
        <v>50941141358</v>
      </c>
      <c r="B10" s="16" t="s">
        <v>20</v>
      </c>
      <c r="C10" s="22">
        <v>46086</v>
      </c>
      <c r="D10" s="16" t="s">
        <v>12</v>
      </c>
      <c r="E10" s="6">
        <v>0</v>
      </c>
      <c r="F10" s="7">
        <v>8559</v>
      </c>
      <c r="G10" s="7">
        <v>101822.76</v>
      </c>
    </row>
    <row r="11" spans="1:7" ht="21.6" customHeight="1">
      <c r="A11" s="8">
        <v>27241141358</v>
      </c>
      <c r="B11" s="9" t="s">
        <v>15</v>
      </c>
      <c r="C11" s="23">
        <v>46086</v>
      </c>
      <c r="D11" s="9" t="s">
        <v>10</v>
      </c>
      <c r="E11" s="13">
        <v>-128.38999999999999</v>
      </c>
      <c r="F11" s="13">
        <v>0</v>
      </c>
      <c r="G11" s="24">
        <v>101694.37</v>
      </c>
    </row>
    <row r="12" spans="1:7" ht="33" customHeight="1">
      <c r="A12" s="15">
        <v>50941145983</v>
      </c>
      <c r="B12" s="16" t="s">
        <v>20</v>
      </c>
      <c r="C12" s="22">
        <v>46086</v>
      </c>
      <c r="D12" s="16" t="s">
        <v>12</v>
      </c>
      <c r="E12" s="6">
        <v>0</v>
      </c>
      <c r="F12" s="7">
        <v>9415</v>
      </c>
      <c r="G12" s="7">
        <v>111109.37</v>
      </c>
    </row>
    <row r="13" spans="1:7" ht="15.6" customHeight="1">
      <c r="A13" s="8">
        <v>27241145983</v>
      </c>
      <c r="B13" s="9" t="s">
        <v>15</v>
      </c>
      <c r="C13" s="23">
        <v>46086</v>
      </c>
      <c r="D13" s="9" t="s">
        <v>10</v>
      </c>
      <c r="E13" s="13">
        <v>-141.22999999999999</v>
      </c>
      <c r="F13" s="13">
        <v>0</v>
      </c>
      <c r="G13" s="24">
        <v>110968.14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21">
        <v>50958516418</v>
      </c>
      <c r="B15" s="16" t="s">
        <v>14</v>
      </c>
      <c r="C15" s="22">
        <v>46086</v>
      </c>
      <c r="D15" s="16" t="s">
        <v>12</v>
      </c>
      <c r="E15" s="6">
        <v>0</v>
      </c>
      <c r="F15" s="7">
        <v>21400</v>
      </c>
      <c r="G15" s="7">
        <v>132368.14000000001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5" customWidth="1"/>
    <col min="3" max="3" width="14" customWidth="1"/>
    <col min="4" max="4" width="6.6640625" customWidth="1"/>
    <col min="5" max="5" width="14.1640625" customWidth="1"/>
    <col min="6" max="6" width="12.5" customWidth="1"/>
    <col min="7" max="7" width="13.5" customWidth="1"/>
  </cols>
  <sheetData>
    <row r="1" spans="1:7" ht="17.100000000000001" customHeight="1">
      <c r="A1" s="8">
        <v>27258516418</v>
      </c>
      <c r="B1" s="9" t="s">
        <v>15</v>
      </c>
      <c r="C1" s="23">
        <v>46086</v>
      </c>
      <c r="D1" s="9" t="s">
        <v>10</v>
      </c>
      <c r="E1" s="13">
        <v>-321</v>
      </c>
      <c r="F1" s="13">
        <v>0</v>
      </c>
      <c r="G1" s="14">
        <v>132047.14000000001</v>
      </c>
    </row>
    <row r="2" spans="1:7" ht="33" customHeight="1">
      <c r="A2" s="15">
        <v>50996686476</v>
      </c>
      <c r="B2" s="16" t="s">
        <v>22</v>
      </c>
      <c r="C2" s="22">
        <v>46086</v>
      </c>
      <c r="D2" s="16" t="s">
        <v>12</v>
      </c>
      <c r="E2" s="6">
        <v>0</v>
      </c>
      <c r="F2" s="7">
        <v>21396.51</v>
      </c>
      <c r="G2" s="19">
        <v>153443.65</v>
      </c>
    </row>
    <row r="3" spans="1:7" ht="21.6" customHeight="1">
      <c r="A3" s="8">
        <v>27296686476</v>
      </c>
      <c r="B3" s="9" t="s">
        <v>15</v>
      </c>
      <c r="C3" s="23">
        <v>46086</v>
      </c>
      <c r="D3" s="9" t="s">
        <v>10</v>
      </c>
      <c r="E3" s="13">
        <v>-320.95</v>
      </c>
      <c r="F3" s="13">
        <v>0</v>
      </c>
      <c r="G3" s="14">
        <v>153122.70000000001</v>
      </c>
    </row>
    <row r="4" spans="1:7" ht="33" customHeight="1">
      <c r="A4" s="15">
        <v>329256904576</v>
      </c>
      <c r="B4" s="16" t="s">
        <v>29</v>
      </c>
      <c r="C4" s="22">
        <v>46087</v>
      </c>
      <c r="D4" s="16" t="s">
        <v>10</v>
      </c>
      <c r="E4" s="7">
        <v>-20000</v>
      </c>
      <c r="F4" s="6">
        <v>0</v>
      </c>
      <c r="G4" s="19">
        <v>133122.70000000001</v>
      </c>
    </row>
    <row r="5" spans="1:7" ht="21.6" customHeight="1">
      <c r="A5" s="8">
        <v>676256904576</v>
      </c>
      <c r="B5" s="9" t="s">
        <v>17</v>
      </c>
      <c r="C5" s="23">
        <v>46087</v>
      </c>
      <c r="D5" s="9" t="s">
        <v>10</v>
      </c>
      <c r="E5" s="13">
        <v>-50</v>
      </c>
      <c r="F5" s="13">
        <v>0</v>
      </c>
      <c r="G5" s="14">
        <v>133072.70000000001</v>
      </c>
    </row>
    <row r="6" spans="1:7" ht="33" customHeight="1">
      <c r="A6" s="15">
        <v>50953678769</v>
      </c>
      <c r="B6" s="16" t="s">
        <v>20</v>
      </c>
      <c r="C6" s="22">
        <v>46087</v>
      </c>
      <c r="D6" s="16" t="s">
        <v>12</v>
      </c>
      <c r="E6" s="6">
        <v>0</v>
      </c>
      <c r="F6" s="7">
        <v>21550</v>
      </c>
      <c r="G6" s="19">
        <v>154622.70000000001</v>
      </c>
    </row>
    <row r="7" spans="1:7" ht="21.6" customHeight="1">
      <c r="A7" s="8">
        <v>27253678769</v>
      </c>
      <c r="B7" s="9" t="s">
        <v>15</v>
      </c>
      <c r="C7" s="23">
        <v>46087</v>
      </c>
      <c r="D7" s="9" t="s">
        <v>10</v>
      </c>
      <c r="E7" s="13">
        <v>-323.25</v>
      </c>
      <c r="F7" s="13">
        <v>0</v>
      </c>
      <c r="G7" s="14">
        <v>154299.45000000001</v>
      </c>
    </row>
    <row r="8" spans="1:7" ht="33" customHeight="1">
      <c r="A8" s="15">
        <v>677244183588</v>
      </c>
      <c r="B8" s="16" t="s">
        <v>24</v>
      </c>
      <c r="C8" s="22">
        <v>46087</v>
      </c>
      <c r="D8" s="16" t="s">
        <v>12</v>
      </c>
      <c r="E8" s="6">
        <v>0</v>
      </c>
      <c r="F8" s="7">
        <v>43101.13</v>
      </c>
      <c r="G8" s="19">
        <v>197400.58</v>
      </c>
    </row>
    <row r="9" spans="1:7" ht="21.6" customHeight="1">
      <c r="A9" s="8">
        <v>210044183588</v>
      </c>
      <c r="B9" s="9" t="s">
        <v>13</v>
      </c>
      <c r="C9" s="23">
        <v>46087</v>
      </c>
      <c r="D9" s="9" t="s">
        <v>10</v>
      </c>
      <c r="E9" s="13">
        <v>-646.52</v>
      </c>
      <c r="F9" s="13">
        <v>0</v>
      </c>
      <c r="G9" s="14">
        <v>196754.06</v>
      </c>
    </row>
    <row r="10" spans="1:7" ht="33" customHeight="1">
      <c r="A10" s="15">
        <v>50958738746</v>
      </c>
      <c r="B10" s="16" t="s">
        <v>14</v>
      </c>
      <c r="C10" s="22">
        <v>46087</v>
      </c>
      <c r="D10" s="16" t="s">
        <v>12</v>
      </c>
      <c r="E10" s="6">
        <v>0</v>
      </c>
      <c r="F10" s="7">
        <v>30171</v>
      </c>
      <c r="G10" s="19">
        <v>226925.06</v>
      </c>
    </row>
    <row r="11" spans="1:7" ht="21.6" customHeight="1">
      <c r="A11" s="8">
        <v>27258738746</v>
      </c>
      <c r="B11" s="9" t="s">
        <v>15</v>
      </c>
      <c r="C11" s="23">
        <v>46087</v>
      </c>
      <c r="D11" s="9" t="s">
        <v>10</v>
      </c>
      <c r="E11" s="13">
        <v>-452.57</v>
      </c>
      <c r="F11" s="13">
        <v>0</v>
      </c>
      <c r="G11" s="14">
        <v>226472.49</v>
      </c>
    </row>
    <row r="12" spans="1:7" ht="33" customHeight="1">
      <c r="A12" s="15">
        <v>50994159294</v>
      </c>
      <c r="B12" s="16" t="s">
        <v>25</v>
      </c>
      <c r="C12" s="22">
        <v>46087</v>
      </c>
      <c r="D12" s="16" t="s">
        <v>12</v>
      </c>
      <c r="E12" s="6">
        <v>0</v>
      </c>
      <c r="F12" s="7">
        <v>12930.34</v>
      </c>
      <c r="G12" s="19">
        <v>239402.83</v>
      </c>
    </row>
    <row r="13" spans="1:7" ht="15.6" customHeight="1">
      <c r="A13" s="8">
        <v>27294159294</v>
      </c>
      <c r="B13" s="9" t="s">
        <v>15</v>
      </c>
      <c r="C13" s="23">
        <v>46087</v>
      </c>
      <c r="D13" s="9" t="s">
        <v>10</v>
      </c>
      <c r="E13" s="13">
        <v>-193.96</v>
      </c>
      <c r="F13" s="13">
        <v>0</v>
      </c>
      <c r="G13" s="14">
        <v>239208.87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21">
        <v>50997735011</v>
      </c>
      <c r="B15" s="16" t="s">
        <v>22</v>
      </c>
      <c r="C15" s="22">
        <v>46087</v>
      </c>
      <c r="D15" s="16" t="s">
        <v>12</v>
      </c>
      <c r="E15" s="6">
        <v>0</v>
      </c>
      <c r="F15" s="7">
        <v>21550.57</v>
      </c>
      <c r="G15" s="7">
        <v>260759.44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5" customWidth="1"/>
    <col min="3" max="3" width="14" customWidth="1"/>
    <col min="4" max="4" width="6.6640625" customWidth="1"/>
    <col min="5" max="5" width="14.1640625" customWidth="1"/>
    <col min="6" max="6" width="12.5" customWidth="1"/>
    <col min="7" max="7" width="13.5" customWidth="1"/>
  </cols>
  <sheetData>
    <row r="1" spans="1:7" ht="17.100000000000001" customHeight="1">
      <c r="A1" s="8">
        <v>27297735011</v>
      </c>
      <c r="B1" s="9" t="s">
        <v>15</v>
      </c>
      <c r="C1" s="23">
        <v>46087</v>
      </c>
      <c r="D1" s="9" t="s">
        <v>10</v>
      </c>
      <c r="E1" s="13">
        <v>-323.26</v>
      </c>
      <c r="F1" s="13">
        <v>0</v>
      </c>
      <c r="G1" s="14">
        <v>260436.18</v>
      </c>
    </row>
    <row r="2" spans="1:7" ht="33" customHeight="1">
      <c r="A2" s="15">
        <v>329257197349</v>
      </c>
      <c r="B2" s="16" t="s">
        <v>30</v>
      </c>
      <c r="C2" s="22">
        <v>46088</v>
      </c>
      <c r="D2" s="16" t="s">
        <v>10</v>
      </c>
      <c r="E2" s="7">
        <v>-30000</v>
      </c>
      <c r="F2" s="6">
        <v>0</v>
      </c>
      <c r="G2" s="19">
        <v>230436.18</v>
      </c>
    </row>
    <row r="3" spans="1:7" ht="21.6" customHeight="1">
      <c r="A3" s="8">
        <v>676257197349</v>
      </c>
      <c r="B3" s="9" t="s">
        <v>17</v>
      </c>
      <c r="C3" s="23">
        <v>46088</v>
      </c>
      <c r="D3" s="9" t="s">
        <v>10</v>
      </c>
      <c r="E3" s="13">
        <v>-75</v>
      </c>
      <c r="F3" s="13">
        <v>0</v>
      </c>
      <c r="G3" s="14">
        <v>230361.18</v>
      </c>
    </row>
    <row r="4" spans="1:7" ht="33" customHeight="1">
      <c r="A4" s="15">
        <v>50998823283</v>
      </c>
      <c r="B4" s="16" t="s">
        <v>22</v>
      </c>
      <c r="C4" s="22">
        <v>46088</v>
      </c>
      <c r="D4" s="16" t="s">
        <v>12</v>
      </c>
      <c r="E4" s="6">
        <v>0</v>
      </c>
      <c r="F4" s="7">
        <v>21658.32</v>
      </c>
      <c r="G4" s="19">
        <v>252019.5</v>
      </c>
    </row>
    <row r="5" spans="1:7" ht="21.6" customHeight="1">
      <c r="A5" s="8">
        <v>27298823283</v>
      </c>
      <c r="B5" s="9" t="s">
        <v>15</v>
      </c>
      <c r="C5" s="23">
        <v>46088</v>
      </c>
      <c r="D5" s="9" t="s">
        <v>10</v>
      </c>
      <c r="E5" s="13">
        <v>-324.87</v>
      </c>
      <c r="F5" s="13">
        <v>0</v>
      </c>
      <c r="G5" s="14">
        <v>251694.63</v>
      </c>
    </row>
    <row r="6" spans="1:7" ht="33" customHeight="1">
      <c r="A6" s="15">
        <v>50969125783</v>
      </c>
      <c r="B6" s="16" t="s">
        <v>20</v>
      </c>
      <c r="C6" s="22">
        <v>46088</v>
      </c>
      <c r="D6" s="16" t="s">
        <v>12</v>
      </c>
      <c r="E6" s="6">
        <v>0</v>
      </c>
      <c r="F6" s="7">
        <v>21658.5</v>
      </c>
      <c r="G6" s="19">
        <v>273353.13</v>
      </c>
    </row>
    <row r="7" spans="1:7" ht="21.6" customHeight="1">
      <c r="A7" s="8">
        <v>27269125783</v>
      </c>
      <c r="B7" s="9" t="s">
        <v>15</v>
      </c>
      <c r="C7" s="23">
        <v>46088</v>
      </c>
      <c r="D7" s="9" t="s">
        <v>10</v>
      </c>
      <c r="E7" s="13">
        <v>-324.88</v>
      </c>
      <c r="F7" s="13">
        <v>0</v>
      </c>
      <c r="G7" s="14">
        <v>273028.25</v>
      </c>
    </row>
    <row r="8" spans="1:7" ht="33" customHeight="1">
      <c r="A8" s="15">
        <v>677248587954</v>
      </c>
      <c r="B8" s="16" t="s">
        <v>24</v>
      </c>
      <c r="C8" s="22">
        <v>46089</v>
      </c>
      <c r="D8" s="16" t="s">
        <v>12</v>
      </c>
      <c r="E8" s="6">
        <v>0</v>
      </c>
      <c r="F8" s="7">
        <v>43316.639999999999</v>
      </c>
      <c r="G8" s="19">
        <v>316344.89</v>
      </c>
    </row>
    <row r="9" spans="1:7" ht="21.6" customHeight="1">
      <c r="A9" s="8">
        <v>210048587954</v>
      </c>
      <c r="B9" s="9" t="s">
        <v>13</v>
      </c>
      <c r="C9" s="23">
        <v>46089</v>
      </c>
      <c r="D9" s="9" t="s">
        <v>10</v>
      </c>
      <c r="E9" s="13">
        <v>-649.75</v>
      </c>
      <c r="F9" s="13">
        <v>0</v>
      </c>
      <c r="G9" s="14">
        <v>315695.14</v>
      </c>
    </row>
    <row r="10" spans="1:7" ht="33" customHeight="1">
      <c r="A10" s="15">
        <v>50938130338</v>
      </c>
      <c r="B10" s="16" t="s">
        <v>25</v>
      </c>
      <c r="C10" s="22">
        <v>46089</v>
      </c>
      <c r="D10" s="16" t="s">
        <v>12</v>
      </c>
      <c r="E10" s="6">
        <v>0</v>
      </c>
      <c r="F10" s="7">
        <v>23555</v>
      </c>
      <c r="G10" s="19">
        <v>339250.14</v>
      </c>
    </row>
    <row r="11" spans="1:7" ht="21.6" customHeight="1">
      <c r="A11" s="8">
        <v>27238130338</v>
      </c>
      <c r="B11" s="9" t="s">
        <v>15</v>
      </c>
      <c r="C11" s="23">
        <v>46089</v>
      </c>
      <c r="D11" s="9" t="s">
        <v>10</v>
      </c>
      <c r="E11" s="13">
        <v>-353.33</v>
      </c>
      <c r="F11" s="13">
        <v>0</v>
      </c>
      <c r="G11" s="14">
        <v>338896.81</v>
      </c>
    </row>
    <row r="12" spans="1:7" ht="33" customHeight="1">
      <c r="A12" s="15">
        <v>50971270349</v>
      </c>
      <c r="B12" s="16" t="s">
        <v>20</v>
      </c>
      <c r="C12" s="22">
        <v>46089</v>
      </c>
      <c r="D12" s="16" t="s">
        <v>12</v>
      </c>
      <c r="E12" s="6">
        <v>0</v>
      </c>
      <c r="F12" s="7">
        <v>26000</v>
      </c>
      <c r="G12" s="19">
        <v>364896.81</v>
      </c>
    </row>
    <row r="13" spans="1:7" ht="15.6" customHeight="1">
      <c r="A13" s="8">
        <v>27271270349</v>
      </c>
      <c r="B13" s="9" t="s">
        <v>15</v>
      </c>
      <c r="C13" s="23">
        <v>46089</v>
      </c>
      <c r="D13" s="9" t="s">
        <v>10</v>
      </c>
      <c r="E13" s="13">
        <v>-390</v>
      </c>
      <c r="F13" s="13">
        <v>0</v>
      </c>
      <c r="G13" s="14">
        <v>364506.81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21">
        <v>50999589810</v>
      </c>
      <c r="B15" s="16" t="s">
        <v>22</v>
      </c>
      <c r="C15" s="22">
        <v>46089</v>
      </c>
      <c r="D15" s="16" t="s">
        <v>12</v>
      </c>
      <c r="E15" s="6">
        <v>0</v>
      </c>
      <c r="F15" s="7">
        <v>21658.32</v>
      </c>
      <c r="G15" s="7">
        <v>386165.13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5" customWidth="1"/>
    <col min="3" max="3" width="14" customWidth="1"/>
    <col min="4" max="4" width="6.6640625" customWidth="1"/>
    <col min="5" max="5" width="14.1640625" customWidth="1"/>
    <col min="6" max="6" width="12.5" customWidth="1"/>
    <col min="7" max="7" width="13.5" customWidth="1"/>
  </cols>
  <sheetData>
    <row r="1" spans="1:7" ht="17.100000000000001" customHeight="1">
      <c r="A1" s="8">
        <v>27299589810</v>
      </c>
      <c r="B1" s="9" t="s">
        <v>15</v>
      </c>
      <c r="C1" s="23">
        <v>46089</v>
      </c>
      <c r="D1" s="9" t="s">
        <v>10</v>
      </c>
      <c r="E1" s="13">
        <v>-324.87</v>
      </c>
      <c r="F1" s="13">
        <v>0</v>
      </c>
      <c r="G1" s="24">
        <v>385840.26</v>
      </c>
    </row>
    <row r="2" spans="1:7" ht="33" customHeight="1">
      <c r="A2" s="15">
        <v>677249409553</v>
      </c>
      <c r="B2" s="16" t="s">
        <v>11</v>
      </c>
      <c r="C2" s="22">
        <v>46090</v>
      </c>
      <c r="D2" s="16" t="s">
        <v>12</v>
      </c>
      <c r="E2" s="6">
        <v>0</v>
      </c>
      <c r="F2" s="7">
        <v>12931</v>
      </c>
      <c r="G2" s="7">
        <v>398771.26</v>
      </c>
    </row>
    <row r="3" spans="1:7" ht="21.6" customHeight="1">
      <c r="A3" s="8">
        <v>210049409553</v>
      </c>
      <c r="B3" s="9" t="s">
        <v>13</v>
      </c>
      <c r="C3" s="23">
        <v>46090</v>
      </c>
      <c r="D3" s="9" t="s">
        <v>10</v>
      </c>
      <c r="E3" s="13">
        <v>-193.97</v>
      </c>
      <c r="F3" s="13">
        <v>0</v>
      </c>
      <c r="G3" s="24">
        <v>398577.29</v>
      </c>
    </row>
    <row r="4" spans="1:7" ht="33" customHeight="1">
      <c r="A4" s="15">
        <v>329257283506</v>
      </c>
      <c r="B4" s="16" t="s">
        <v>31</v>
      </c>
      <c r="C4" s="22">
        <v>46090</v>
      </c>
      <c r="D4" s="16" t="s">
        <v>10</v>
      </c>
      <c r="E4" s="7">
        <v>-300000</v>
      </c>
      <c r="F4" s="6">
        <v>0</v>
      </c>
      <c r="G4" s="7">
        <v>98577.29</v>
      </c>
    </row>
    <row r="5" spans="1:7" ht="21.6" customHeight="1">
      <c r="A5" s="8">
        <v>676257283506</v>
      </c>
      <c r="B5" s="9" t="s">
        <v>17</v>
      </c>
      <c r="C5" s="23">
        <v>46090</v>
      </c>
      <c r="D5" s="9" t="s">
        <v>10</v>
      </c>
      <c r="E5" s="13">
        <v>-750</v>
      </c>
      <c r="F5" s="13">
        <v>0</v>
      </c>
      <c r="G5" s="24">
        <v>97827.29</v>
      </c>
    </row>
    <row r="6" spans="1:7" ht="33" customHeight="1">
      <c r="A6" s="15">
        <v>50959575549</v>
      </c>
      <c r="B6" s="16" t="s">
        <v>14</v>
      </c>
      <c r="C6" s="22">
        <v>46090</v>
      </c>
      <c r="D6" s="16" t="s">
        <v>12</v>
      </c>
      <c r="E6" s="6">
        <v>0</v>
      </c>
      <c r="F6" s="7">
        <v>56312</v>
      </c>
      <c r="G6" s="7">
        <v>154139.29</v>
      </c>
    </row>
    <row r="7" spans="1:7" ht="21.6" customHeight="1">
      <c r="A7" s="8">
        <v>27259575549</v>
      </c>
      <c r="B7" s="9" t="s">
        <v>15</v>
      </c>
      <c r="C7" s="23">
        <v>46090</v>
      </c>
      <c r="D7" s="9" t="s">
        <v>10</v>
      </c>
      <c r="E7" s="13">
        <v>-844.68</v>
      </c>
      <c r="F7" s="13">
        <v>0</v>
      </c>
      <c r="G7" s="24">
        <v>153294.60999999999</v>
      </c>
    </row>
    <row r="8" spans="1:7" ht="33" customHeight="1">
      <c r="A8" s="15">
        <v>677249837923</v>
      </c>
      <c r="B8" s="16" t="s">
        <v>11</v>
      </c>
      <c r="C8" s="22">
        <v>46090</v>
      </c>
      <c r="D8" s="16" t="s">
        <v>12</v>
      </c>
      <c r="E8" s="6">
        <v>0</v>
      </c>
      <c r="F8" s="7">
        <v>34481</v>
      </c>
      <c r="G8" s="7">
        <v>187775.61</v>
      </c>
    </row>
    <row r="9" spans="1:7" ht="21.6" customHeight="1">
      <c r="A9" s="8">
        <v>210049837923</v>
      </c>
      <c r="B9" s="9" t="s">
        <v>13</v>
      </c>
      <c r="C9" s="23">
        <v>46090</v>
      </c>
      <c r="D9" s="9" t="s">
        <v>10</v>
      </c>
      <c r="E9" s="13">
        <v>-517.22</v>
      </c>
      <c r="F9" s="13">
        <v>0</v>
      </c>
      <c r="G9" s="24">
        <v>187258.39</v>
      </c>
    </row>
    <row r="10" spans="1:7" ht="33" customHeight="1">
      <c r="A10" s="15">
        <v>677250111573</v>
      </c>
      <c r="B10" s="16" t="s">
        <v>11</v>
      </c>
      <c r="C10" s="22">
        <v>46090</v>
      </c>
      <c r="D10" s="16" t="s">
        <v>12</v>
      </c>
      <c r="E10" s="6">
        <v>0</v>
      </c>
      <c r="F10" s="7">
        <v>6065</v>
      </c>
      <c r="G10" s="7">
        <v>193323.39</v>
      </c>
    </row>
    <row r="11" spans="1:7" ht="21.6" customHeight="1">
      <c r="A11" s="8">
        <v>210050111573</v>
      </c>
      <c r="B11" s="9" t="s">
        <v>13</v>
      </c>
      <c r="C11" s="23">
        <v>46090</v>
      </c>
      <c r="D11" s="9" t="s">
        <v>10</v>
      </c>
      <c r="E11" s="13">
        <v>-90.98</v>
      </c>
      <c r="F11" s="13">
        <v>0</v>
      </c>
      <c r="G11" s="24">
        <v>193232.41</v>
      </c>
    </row>
    <row r="12" spans="1:7" ht="33" customHeight="1">
      <c r="A12" s="15">
        <v>677250252216</v>
      </c>
      <c r="B12" s="16" t="s">
        <v>24</v>
      </c>
      <c r="C12" s="22">
        <v>46090</v>
      </c>
      <c r="D12" s="16" t="s">
        <v>12</v>
      </c>
      <c r="E12" s="6">
        <v>0</v>
      </c>
      <c r="F12" s="7">
        <v>38984.980000000003</v>
      </c>
      <c r="G12" s="7">
        <v>232217.39</v>
      </c>
    </row>
    <row r="13" spans="1:7" ht="15.6" customHeight="1">
      <c r="A13" s="8">
        <v>210050252216</v>
      </c>
      <c r="B13" s="9" t="s">
        <v>13</v>
      </c>
      <c r="C13" s="23">
        <v>46090</v>
      </c>
      <c r="D13" s="9" t="s">
        <v>10</v>
      </c>
      <c r="E13" s="13">
        <v>-584.77</v>
      </c>
      <c r="F13" s="13">
        <v>0</v>
      </c>
      <c r="G13" s="24">
        <v>231632.62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21">
        <v>50984471937</v>
      </c>
      <c r="B15" s="16" t="s">
        <v>20</v>
      </c>
      <c r="C15" s="22">
        <v>46090</v>
      </c>
      <c r="D15" s="16" t="s">
        <v>12</v>
      </c>
      <c r="E15" s="6">
        <v>0</v>
      </c>
      <c r="F15" s="7">
        <v>4765</v>
      </c>
      <c r="G15" s="7">
        <v>236397.62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topLeftCell="A6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5" customWidth="1"/>
    <col min="3" max="3" width="14" customWidth="1"/>
    <col min="4" max="4" width="6.6640625" customWidth="1"/>
    <col min="5" max="5" width="14.1640625" customWidth="1"/>
    <col min="6" max="6" width="12.5" customWidth="1"/>
    <col min="7" max="7" width="13.5" customWidth="1"/>
  </cols>
  <sheetData>
    <row r="1" spans="1:7" ht="17.100000000000001" customHeight="1">
      <c r="A1" s="8">
        <v>27284471937</v>
      </c>
      <c r="B1" s="9" t="s">
        <v>15</v>
      </c>
      <c r="C1" s="23">
        <v>46090</v>
      </c>
      <c r="D1" s="9" t="s">
        <v>10</v>
      </c>
      <c r="E1" s="13">
        <v>-71.48</v>
      </c>
      <c r="F1" s="13">
        <v>0</v>
      </c>
      <c r="G1" s="14">
        <v>236326.14</v>
      </c>
    </row>
    <row r="2" spans="1:7" ht="33" customHeight="1">
      <c r="A2" s="15">
        <v>50984477359</v>
      </c>
      <c r="B2" s="16" t="s">
        <v>20</v>
      </c>
      <c r="C2" s="22">
        <v>46090</v>
      </c>
      <c r="D2" s="16" t="s">
        <v>12</v>
      </c>
      <c r="E2" s="6">
        <v>0</v>
      </c>
      <c r="F2" s="7">
        <v>21658.5</v>
      </c>
      <c r="G2" s="19">
        <v>257984.64000000001</v>
      </c>
    </row>
    <row r="3" spans="1:7" ht="21.6" customHeight="1">
      <c r="A3" s="8">
        <v>27284477359</v>
      </c>
      <c r="B3" s="9" t="s">
        <v>15</v>
      </c>
      <c r="C3" s="23">
        <v>46090</v>
      </c>
      <c r="D3" s="9" t="s">
        <v>10</v>
      </c>
      <c r="E3" s="13">
        <v>-324.88</v>
      </c>
      <c r="F3" s="13">
        <v>0</v>
      </c>
      <c r="G3" s="14">
        <v>257659.76</v>
      </c>
    </row>
    <row r="4" spans="1:7" ht="33" customHeight="1">
      <c r="A4" s="15">
        <v>50900472468</v>
      </c>
      <c r="B4" s="16" t="s">
        <v>22</v>
      </c>
      <c r="C4" s="22">
        <v>46090</v>
      </c>
      <c r="D4" s="16" t="s">
        <v>12</v>
      </c>
      <c r="E4" s="6">
        <v>0</v>
      </c>
      <c r="F4" s="7">
        <v>25989.98</v>
      </c>
      <c r="G4" s="19">
        <v>283649.74</v>
      </c>
    </row>
    <row r="5" spans="1:7" ht="21.6" customHeight="1">
      <c r="A5" s="8">
        <v>27200472468</v>
      </c>
      <c r="B5" s="9" t="s">
        <v>15</v>
      </c>
      <c r="C5" s="23">
        <v>46090</v>
      </c>
      <c r="D5" s="9" t="s">
        <v>10</v>
      </c>
      <c r="E5" s="13">
        <v>-389.85</v>
      </c>
      <c r="F5" s="13">
        <v>0</v>
      </c>
      <c r="G5" s="14">
        <v>283259.89</v>
      </c>
    </row>
    <row r="6" spans="1:7" ht="33" customHeight="1">
      <c r="A6" s="15">
        <v>50982013282</v>
      </c>
      <c r="B6" s="16" t="s">
        <v>25</v>
      </c>
      <c r="C6" s="22">
        <v>46091</v>
      </c>
      <c r="D6" s="16" t="s">
        <v>12</v>
      </c>
      <c r="E6" s="6">
        <v>0</v>
      </c>
      <c r="F6" s="7">
        <v>21545.99</v>
      </c>
      <c r="G6" s="19">
        <v>304805.88</v>
      </c>
    </row>
    <row r="7" spans="1:7" ht="21.6" customHeight="1">
      <c r="A7" s="8">
        <v>27282013282</v>
      </c>
      <c r="B7" s="9" t="s">
        <v>15</v>
      </c>
      <c r="C7" s="23">
        <v>46091</v>
      </c>
      <c r="D7" s="9" t="s">
        <v>10</v>
      </c>
      <c r="E7" s="13">
        <v>-323.19</v>
      </c>
      <c r="F7" s="13">
        <v>0</v>
      </c>
      <c r="G7" s="14">
        <v>304482.69</v>
      </c>
    </row>
    <row r="8" spans="1:7" ht="33" customHeight="1">
      <c r="A8" s="15">
        <v>50959772131</v>
      </c>
      <c r="B8" s="16" t="s">
        <v>14</v>
      </c>
      <c r="C8" s="22">
        <v>46091</v>
      </c>
      <c r="D8" s="16" t="s">
        <v>12</v>
      </c>
      <c r="E8" s="6">
        <v>0</v>
      </c>
      <c r="F8" s="7">
        <v>8725</v>
      </c>
      <c r="G8" s="19">
        <v>313207.69</v>
      </c>
    </row>
    <row r="9" spans="1:7" ht="21.6" customHeight="1">
      <c r="A9" s="8">
        <v>27259772131</v>
      </c>
      <c r="B9" s="9" t="s">
        <v>15</v>
      </c>
      <c r="C9" s="23">
        <v>46091</v>
      </c>
      <c r="D9" s="9" t="s">
        <v>10</v>
      </c>
      <c r="E9" s="13">
        <v>-130.88</v>
      </c>
      <c r="F9" s="13">
        <v>0</v>
      </c>
      <c r="G9" s="14">
        <v>313076.81</v>
      </c>
    </row>
    <row r="10" spans="1:7" ht="33" customHeight="1">
      <c r="A10" s="15">
        <v>329257380272</v>
      </c>
      <c r="B10" s="16" t="s">
        <v>32</v>
      </c>
      <c r="C10" s="22">
        <v>46091</v>
      </c>
      <c r="D10" s="16" t="s">
        <v>10</v>
      </c>
      <c r="E10" s="7">
        <v>-170000</v>
      </c>
      <c r="F10" s="6">
        <v>0</v>
      </c>
      <c r="G10" s="19">
        <v>143076.81</v>
      </c>
    </row>
    <row r="11" spans="1:7" ht="21.6" customHeight="1">
      <c r="A11" s="8">
        <v>676257380272</v>
      </c>
      <c r="B11" s="9" t="s">
        <v>17</v>
      </c>
      <c r="C11" s="23">
        <v>46091</v>
      </c>
      <c r="D11" s="9" t="s">
        <v>10</v>
      </c>
      <c r="E11" s="13">
        <v>-425</v>
      </c>
      <c r="F11" s="13">
        <v>0</v>
      </c>
      <c r="G11" s="14">
        <v>142651.81</v>
      </c>
    </row>
    <row r="12" spans="1:7" ht="33" customHeight="1">
      <c r="A12" s="15">
        <v>677251754092</v>
      </c>
      <c r="B12" s="16" t="s">
        <v>11</v>
      </c>
      <c r="C12" s="22">
        <v>46091</v>
      </c>
      <c r="D12" s="16" t="s">
        <v>12</v>
      </c>
      <c r="E12" s="6">
        <v>0</v>
      </c>
      <c r="F12" s="7">
        <v>4363</v>
      </c>
      <c r="G12" s="19">
        <v>147014.81</v>
      </c>
    </row>
    <row r="13" spans="1:7" ht="15.6" customHeight="1">
      <c r="A13" s="8">
        <v>210051754092</v>
      </c>
      <c r="B13" s="9" t="s">
        <v>13</v>
      </c>
      <c r="C13" s="23">
        <v>46091</v>
      </c>
      <c r="D13" s="9" t="s">
        <v>10</v>
      </c>
      <c r="E13" s="13">
        <v>-65.45</v>
      </c>
      <c r="F13" s="13">
        <v>0</v>
      </c>
      <c r="G13" s="14">
        <v>146949.35999999999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21">
        <v>50996812476</v>
      </c>
      <c r="B15" s="16" t="s">
        <v>20</v>
      </c>
      <c r="C15" s="22">
        <v>46091</v>
      </c>
      <c r="D15" s="16" t="s">
        <v>12</v>
      </c>
      <c r="E15" s="6">
        <v>0</v>
      </c>
      <c r="F15" s="7">
        <v>21812</v>
      </c>
      <c r="G15" s="7">
        <v>168761.36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5"/>
  <sheetViews>
    <sheetView topLeftCell="A6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5" customWidth="1"/>
    <col min="3" max="3" width="14" customWidth="1"/>
    <col min="4" max="4" width="6.6640625" customWidth="1"/>
    <col min="5" max="5" width="14.1640625" customWidth="1"/>
    <col min="6" max="6" width="12.5" customWidth="1"/>
    <col min="7" max="7" width="13.5" customWidth="1"/>
  </cols>
  <sheetData>
    <row r="1" spans="1:7" ht="17.100000000000001" customHeight="1">
      <c r="A1" s="8">
        <v>27296812476</v>
      </c>
      <c r="B1" s="9" t="s">
        <v>15</v>
      </c>
      <c r="C1" s="23">
        <v>46091</v>
      </c>
      <c r="D1" s="9" t="s">
        <v>10</v>
      </c>
      <c r="E1" s="13">
        <v>-327.18</v>
      </c>
      <c r="F1" s="13">
        <v>0</v>
      </c>
      <c r="G1" s="14">
        <v>168434.18</v>
      </c>
    </row>
    <row r="2" spans="1:7" ht="33" customHeight="1">
      <c r="A2" s="15">
        <v>50959999177</v>
      </c>
      <c r="B2" s="16" t="s">
        <v>14</v>
      </c>
      <c r="C2" s="22">
        <v>46091</v>
      </c>
      <c r="D2" s="16" t="s">
        <v>12</v>
      </c>
      <c r="E2" s="6">
        <v>0</v>
      </c>
      <c r="F2" s="7">
        <v>13080</v>
      </c>
      <c r="G2" s="19">
        <v>181514.18</v>
      </c>
    </row>
    <row r="3" spans="1:7" ht="21.6" customHeight="1">
      <c r="A3" s="8">
        <v>27259999177</v>
      </c>
      <c r="B3" s="9" t="s">
        <v>15</v>
      </c>
      <c r="C3" s="23">
        <v>46091</v>
      </c>
      <c r="D3" s="9" t="s">
        <v>10</v>
      </c>
      <c r="E3" s="13">
        <v>-196.2</v>
      </c>
      <c r="F3" s="13">
        <v>0</v>
      </c>
      <c r="G3" s="14">
        <v>181317.98</v>
      </c>
    </row>
    <row r="4" spans="1:7" ht="33" customHeight="1">
      <c r="A4" s="15">
        <v>50950105974</v>
      </c>
      <c r="B4" s="16" t="s">
        <v>14</v>
      </c>
      <c r="C4" s="22">
        <v>46092</v>
      </c>
      <c r="D4" s="16" t="s">
        <v>12</v>
      </c>
      <c r="E4" s="6">
        <v>0</v>
      </c>
      <c r="F4" s="7">
        <v>21900</v>
      </c>
      <c r="G4" s="19">
        <v>203217.98</v>
      </c>
    </row>
    <row r="5" spans="1:7" ht="21.6" customHeight="1">
      <c r="A5" s="8">
        <v>27250105974</v>
      </c>
      <c r="B5" s="9" t="s">
        <v>15</v>
      </c>
      <c r="C5" s="23">
        <v>46092</v>
      </c>
      <c r="D5" s="9" t="s">
        <v>10</v>
      </c>
      <c r="E5" s="13">
        <v>-328.5</v>
      </c>
      <c r="F5" s="13">
        <v>0</v>
      </c>
      <c r="G5" s="14">
        <v>202889.48</v>
      </c>
    </row>
    <row r="6" spans="1:7" ht="33" customHeight="1">
      <c r="A6" s="15">
        <v>50950263206</v>
      </c>
      <c r="B6" s="16" t="s">
        <v>14</v>
      </c>
      <c r="C6" s="22">
        <v>46092</v>
      </c>
      <c r="D6" s="16" t="s">
        <v>12</v>
      </c>
      <c r="E6" s="6">
        <v>0</v>
      </c>
      <c r="F6" s="7">
        <v>21910</v>
      </c>
      <c r="G6" s="19">
        <v>224799.48</v>
      </c>
    </row>
    <row r="7" spans="1:7" ht="21.6" customHeight="1">
      <c r="A7" s="8">
        <v>27250263206</v>
      </c>
      <c r="B7" s="9" t="s">
        <v>15</v>
      </c>
      <c r="C7" s="23">
        <v>46092</v>
      </c>
      <c r="D7" s="9" t="s">
        <v>10</v>
      </c>
      <c r="E7" s="13">
        <v>-328.65</v>
      </c>
      <c r="F7" s="13">
        <v>0</v>
      </c>
      <c r="G7" s="14">
        <v>224470.83</v>
      </c>
    </row>
    <row r="8" spans="1:7" ht="33" customHeight="1">
      <c r="A8" s="15">
        <v>50912412880</v>
      </c>
      <c r="B8" s="16" t="s">
        <v>20</v>
      </c>
      <c r="C8" s="22">
        <v>46093</v>
      </c>
      <c r="D8" s="16" t="s">
        <v>12</v>
      </c>
      <c r="E8" s="6">
        <v>0</v>
      </c>
      <c r="F8" s="7">
        <v>22048.5</v>
      </c>
      <c r="G8" s="19">
        <v>246519.33</v>
      </c>
    </row>
    <row r="9" spans="1:7" ht="21.6" customHeight="1">
      <c r="A9" s="8">
        <v>27212412880</v>
      </c>
      <c r="B9" s="9" t="s">
        <v>15</v>
      </c>
      <c r="C9" s="23">
        <v>46093</v>
      </c>
      <c r="D9" s="9" t="s">
        <v>10</v>
      </c>
      <c r="E9" s="13">
        <v>-330.73</v>
      </c>
      <c r="F9" s="13">
        <v>0</v>
      </c>
      <c r="G9" s="14">
        <v>246188.6</v>
      </c>
    </row>
    <row r="10" spans="1:7" ht="33" customHeight="1">
      <c r="A10" s="15">
        <v>677255498540</v>
      </c>
      <c r="B10" s="16" t="s">
        <v>11</v>
      </c>
      <c r="C10" s="22">
        <v>46093</v>
      </c>
      <c r="D10" s="16" t="s">
        <v>12</v>
      </c>
      <c r="E10" s="6">
        <v>0</v>
      </c>
      <c r="F10" s="7">
        <v>8820</v>
      </c>
      <c r="G10" s="19">
        <v>255008.6</v>
      </c>
    </row>
    <row r="11" spans="1:7" ht="21.6" customHeight="1">
      <c r="A11" s="8">
        <v>210055498540</v>
      </c>
      <c r="B11" s="9" t="s">
        <v>13</v>
      </c>
      <c r="C11" s="23">
        <v>46093</v>
      </c>
      <c r="D11" s="9" t="s">
        <v>10</v>
      </c>
      <c r="E11" s="13">
        <v>-132.30000000000001</v>
      </c>
      <c r="F11" s="13">
        <v>0</v>
      </c>
      <c r="G11" s="14">
        <v>254876.3</v>
      </c>
    </row>
    <row r="12" spans="1:7" ht="33" customHeight="1">
      <c r="A12" s="15">
        <v>50950509167</v>
      </c>
      <c r="B12" s="16" t="s">
        <v>14</v>
      </c>
      <c r="C12" s="22">
        <v>46093</v>
      </c>
      <c r="D12" s="16" t="s">
        <v>12</v>
      </c>
      <c r="E12" s="6">
        <v>0</v>
      </c>
      <c r="F12" s="7">
        <v>17640</v>
      </c>
      <c r="G12" s="19">
        <v>272516.3</v>
      </c>
    </row>
    <row r="13" spans="1:7" ht="15.6" customHeight="1">
      <c r="A13" s="8">
        <v>27250509167</v>
      </c>
      <c r="B13" s="9" t="s">
        <v>15</v>
      </c>
      <c r="C13" s="23">
        <v>46093</v>
      </c>
      <c r="D13" s="9" t="s">
        <v>10</v>
      </c>
      <c r="E13" s="13">
        <v>-264.60000000000002</v>
      </c>
      <c r="F13" s="13">
        <v>0</v>
      </c>
      <c r="G13" s="14">
        <v>272251.7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21">
        <v>50924381031</v>
      </c>
      <c r="B15" s="16" t="s">
        <v>20</v>
      </c>
      <c r="C15" s="22">
        <v>46094</v>
      </c>
      <c r="D15" s="16" t="s">
        <v>12</v>
      </c>
      <c r="E15" s="6">
        <v>0</v>
      </c>
      <c r="F15" s="7">
        <v>26595.599999999999</v>
      </c>
      <c r="G15" s="7">
        <v>298847.3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"/>
  <sheetViews>
    <sheetView topLeftCell="A6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5" customWidth="1"/>
    <col min="3" max="3" width="14" customWidth="1"/>
    <col min="4" max="4" width="6.6640625" customWidth="1"/>
    <col min="5" max="5" width="14.1640625" customWidth="1"/>
    <col min="6" max="6" width="12.5" customWidth="1"/>
    <col min="7" max="7" width="13.5" customWidth="1"/>
  </cols>
  <sheetData>
    <row r="1" spans="1:7" ht="17.100000000000001" customHeight="1">
      <c r="A1" s="8">
        <v>27224381031</v>
      </c>
      <c r="B1" s="9" t="s">
        <v>15</v>
      </c>
      <c r="C1" s="23">
        <v>46094</v>
      </c>
      <c r="D1" s="9" t="s">
        <v>10</v>
      </c>
      <c r="E1" s="13">
        <v>-398.93</v>
      </c>
      <c r="F1" s="13">
        <v>0</v>
      </c>
      <c r="G1" s="14">
        <v>298448.37</v>
      </c>
    </row>
    <row r="2" spans="1:7" ht="33" customHeight="1">
      <c r="A2" s="15">
        <v>329261164321</v>
      </c>
      <c r="B2" s="16" t="s">
        <v>33</v>
      </c>
      <c r="C2" s="22">
        <v>46094</v>
      </c>
      <c r="D2" s="16" t="s">
        <v>10</v>
      </c>
      <c r="E2" s="7">
        <v>-110000</v>
      </c>
      <c r="F2" s="6">
        <v>0</v>
      </c>
      <c r="G2" s="19">
        <v>188448.37</v>
      </c>
    </row>
    <row r="3" spans="1:7" ht="21.6" customHeight="1">
      <c r="A3" s="8">
        <v>676261164321</v>
      </c>
      <c r="B3" s="9" t="s">
        <v>17</v>
      </c>
      <c r="C3" s="23">
        <v>46094</v>
      </c>
      <c r="D3" s="9" t="s">
        <v>10</v>
      </c>
      <c r="E3" s="13">
        <v>-275</v>
      </c>
      <c r="F3" s="13">
        <v>0</v>
      </c>
      <c r="G3" s="14">
        <v>188173.37</v>
      </c>
    </row>
    <row r="4" spans="1:7" ht="33" customHeight="1">
      <c r="A4" s="15">
        <v>50950738810</v>
      </c>
      <c r="B4" s="16" t="s">
        <v>14</v>
      </c>
      <c r="C4" s="22">
        <v>46094</v>
      </c>
      <c r="D4" s="16" t="s">
        <v>12</v>
      </c>
      <c r="E4" s="6">
        <v>0</v>
      </c>
      <c r="F4" s="7">
        <v>26600</v>
      </c>
      <c r="G4" s="19">
        <v>214773.37</v>
      </c>
    </row>
    <row r="5" spans="1:7" ht="21.6" customHeight="1">
      <c r="A5" s="8">
        <v>27250738810</v>
      </c>
      <c r="B5" s="9" t="s">
        <v>15</v>
      </c>
      <c r="C5" s="23">
        <v>46094</v>
      </c>
      <c r="D5" s="9" t="s">
        <v>10</v>
      </c>
      <c r="E5" s="13">
        <v>-399</v>
      </c>
      <c r="F5" s="13">
        <v>0</v>
      </c>
      <c r="G5" s="14">
        <v>214374.37</v>
      </c>
    </row>
    <row r="6" spans="1:7" ht="33" customHeight="1">
      <c r="A6" s="15">
        <v>677257545807</v>
      </c>
      <c r="B6" s="16" t="s">
        <v>11</v>
      </c>
      <c r="C6" s="22">
        <v>46094</v>
      </c>
      <c r="D6" s="16" t="s">
        <v>12</v>
      </c>
      <c r="E6" s="6">
        <v>0</v>
      </c>
      <c r="F6" s="7">
        <v>5763</v>
      </c>
      <c r="G6" s="19">
        <v>220137.37</v>
      </c>
    </row>
    <row r="7" spans="1:7" ht="21.6" customHeight="1">
      <c r="A7" s="8">
        <v>210057545807</v>
      </c>
      <c r="B7" s="9" t="s">
        <v>13</v>
      </c>
      <c r="C7" s="23">
        <v>46094</v>
      </c>
      <c r="D7" s="9" t="s">
        <v>10</v>
      </c>
      <c r="E7" s="13">
        <v>-86.45</v>
      </c>
      <c r="F7" s="13">
        <v>0</v>
      </c>
      <c r="G7" s="14">
        <v>220050.92</v>
      </c>
    </row>
    <row r="8" spans="1:7" ht="33" customHeight="1">
      <c r="A8" s="15">
        <v>50927382640</v>
      </c>
      <c r="B8" s="16" t="s">
        <v>20</v>
      </c>
      <c r="C8" s="22">
        <v>46094</v>
      </c>
      <c r="D8" s="16" t="s">
        <v>12</v>
      </c>
      <c r="E8" s="6">
        <v>0</v>
      </c>
      <c r="F8" s="7">
        <v>31028.2</v>
      </c>
      <c r="G8" s="19">
        <v>251079.12</v>
      </c>
    </row>
    <row r="9" spans="1:7" ht="21.6" customHeight="1">
      <c r="A9" s="8">
        <v>27227382640</v>
      </c>
      <c r="B9" s="9" t="s">
        <v>15</v>
      </c>
      <c r="C9" s="23">
        <v>46094</v>
      </c>
      <c r="D9" s="9" t="s">
        <v>10</v>
      </c>
      <c r="E9" s="13">
        <v>-465.42</v>
      </c>
      <c r="F9" s="13">
        <v>0</v>
      </c>
      <c r="G9" s="14">
        <v>250613.7</v>
      </c>
    </row>
    <row r="10" spans="1:7" ht="33" customHeight="1">
      <c r="A10" s="15">
        <v>677257979102</v>
      </c>
      <c r="B10" s="16" t="s">
        <v>11</v>
      </c>
      <c r="C10" s="22">
        <v>46094</v>
      </c>
      <c r="D10" s="16" t="s">
        <v>12</v>
      </c>
      <c r="E10" s="6">
        <v>0</v>
      </c>
      <c r="F10" s="7">
        <v>13298</v>
      </c>
      <c r="G10" s="19">
        <v>263911.7</v>
      </c>
    </row>
    <row r="11" spans="1:7" ht="21.6" customHeight="1">
      <c r="A11" s="8">
        <v>210057979102</v>
      </c>
      <c r="B11" s="9" t="s">
        <v>13</v>
      </c>
      <c r="C11" s="23">
        <v>46094</v>
      </c>
      <c r="D11" s="9" t="s">
        <v>10</v>
      </c>
      <c r="E11" s="13">
        <v>-199.47</v>
      </c>
      <c r="F11" s="13">
        <v>0</v>
      </c>
      <c r="G11" s="14">
        <v>263712.23</v>
      </c>
    </row>
    <row r="12" spans="1:7" ht="33" customHeight="1">
      <c r="A12" s="15">
        <v>677258210265</v>
      </c>
      <c r="B12" s="16" t="s">
        <v>24</v>
      </c>
      <c r="C12" s="22">
        <v>46095</v>
      </c>
      <c r="D12" s="16" t="s">
        <v>12</v>
      </c>
      <c r="E12" s="6">
        <v>0</v>
      </c>
      <c r="F12" s="7">
        <v>44325.87</v>
      </c>
      <c r="G12" s="19">
        <v>308038.09999999998</v>
      </c>
    </row>
    <row r="13" spans="1:7" ht="15.6" customHeight="1">
      <c r="A13" s="8">
        <v>210058210265</v>
      </c>
      <c r="B13" s="9" t="s">
        <v>13</v>
      </c>
      <c r="C13" s="23">
        <v>46095</v>
      </c>
      <c r="D13" s="9" t="s">
        <v>10</v>
      </c>
      <c r="E13" s="13">
        <v>-664.89</v>
      </c>
      <c r="F13" s="13">
        <v>0</v>
      </c>
      <c r="G13" s="14">
        <v>307373.21000000002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21">
        <v>677258641610</v>
      </c>
      <c r="B15" s="16" t="s">
        <v>11</v>
      </c>
      <c r="C15" s="22">
        <v>46095</v>
      </c>
      <c r="D15" s="16" t="s">
        <v>12</v>
      </c>
      <c r="E15" s="6">
        <v>0</v>
      </c>
      <c r="F15" s="7">
        <v>6649</v>
      </c>
      <c r="G15" s="7">
        <v>314022.21000000002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5" customWidth="1"/>
    <col min="3" max="3" width="14" customWidth="1"/>
    <col min="4" max="4" width="6.6640625" customWidth="1"/>
    <col min="5" max="5" width="14.1640625" customWidth="1"/>
    <col min="6" max="6" width="12.5" customWidth="1"/>
    <col min="7" max="7" width="13.5" customWidth="1"/>
  </cols>
  <sheetData>
    <row r="1" spans="1:7" ht="17.100000000000001" customHeight="1">
      <c r="A1" s="8">
        <v>210058641610</v>
      </c>
      <c r="B1" s="9" t="s">
        <v>13</v>
      </c>
      <c r="C1" s="23">
        <v>46095</v>
      </c>
      <c r="D1" s="9" t="s">
        <v>10</v>
      </c>
      <c r="E1" s="13">
        <v>-99.74</v>
      </c>
      <c r="F1" s="13">
        <v>0</v>
      </c>
      <c r="G1" s="14">
        <v>313922.46999999997</v>
      </c>
    </row>
    <row r="2" spans="1:7" ht="33" customHeight="1">
      <c r="A2" s="15">
        <v>677260147451</v>
      </c>
      <c r="B2" s="16" t="s">
        <v>11</v>
      </c>
      <c r="C2" s="22">
        <v>46095</v>
      </c>
      <c r="D2" s="16" t="s">
        <v>12</v>
      </c>
      <c r="E2" s="6">
        <v>0</v>
      </c>
      <c r="F2" s="7">
        <v>17731</v>
      </c>
      <c r="G2" s="19">
        <v>331653.46999999997</v>
      </c>
    </row>
    <row r="3" spans="1:7" ht="21.6" customHeight="1">
      <c r="A3" s="8">
        <v>210060147451</v>
      </c>
      <c r="B3" s="9" t="s">
        <v>13</v>
      </c>
      <c r="C3" s="23">
        <v>46095</v>
      </c>
      <c r="D3" s="9" t="s">
        <v>10</v>
      </c>
      <c r="E3" s="13">
        <v>-265.97000000000003</v>
      </c>
      <c r="F3" s="13">
        <v>0</v>
      </c>
      <c r="G3" s="14">
        <v>331387.5</v>
      </c>
    </row>
    <row r="4" spans="1:7" ht="33" customHeight="1">
      <c r="A4" s="15">
        <v>50905513442</v>
      </c>
      <c r="B4" s="16" t="s">
        <v>22</v>
      </c>
      <c r="C4" s="22">
        <v>46095</v>
      </c>
      <c r="D4" s="16" t="s">
        <v>12</v>
      </c>
      <c r="E4" s="6">
        <v>0</v>
      </c>
      <c r="F4" s="7">
        <v>22340.240000000002</v>
      </c>
      <c r="G4" s="19">
        <v>353727.74</v>
      </c>
    </row>
    <row r="5" spans="1:7" ht="21.6" customHeight="1">
      <c r="A5" s="8">
        <v>27205513442</v>
      </c>
      <c r="B5" s="9" t="s">
        <v>15</v>
      </c>
      <c r="C5" s="23">
        <v>46095</v>
      </c>
      <c r="D5" s="9" t="s">
        <v>10</v>
      </c>
      <c r="E5" s="13">
        <v>-335.1</v>
      </c>
      <c r="F5" s="13">
        <v>0</v>
      </c>
      <c r="G5" s="14">
        <v>353392.64000000001</v>
      </c>
    </row>
    <row r="6" spans="1:7" ht="33" customHeight="1">
      <c r="A6" s="15">
        <v>50942299239</v>
      </c>
      <c r="B6" s="16" t="s">
        <v>20</v>
      </c>
      <c r="C6" s="22">
        <v>46096</v>
      </c>
      <c r="D6" s="16" t="s">
        <v>12</v>
      </c>
      <c r="E6" s="6">
        <v>0</v>
      </c>
      <c r="F6" s="7">
        <v>20106</v>
      </c>
      <c r="G6" s="19">
        <v>373498.64</v>
      </c>
    </row>
    <row r="7" spans="1:7" ht="21.6" customHeight="1">
      <c r="A7" s="8">
        <v>27242299239</v>
      </c>
      <c r="B7" s="9" t="s">
        <v>15</v>
      </c>
      <c r="C7" s="23">
        <v>46096</v>
      </c>
      <c r="D7" s="9" t="s">
        <v>10</v>
      </c>
      <c r="E7" s="13">
        <v>-301.58999999999997</v>
      </c>
      <c r="F7" s="13">
        <v>0</v>
      </c>
      <c r="G7" s="14">
        <v>373197.05</v>
      </c>
    </row>
    <row r="8" spans="1:7" ht="33" customHeight="1">
      <c r="A8" s="15">
        <v>50951445677</v>
      </c>
      <c r="B8" s="16" t="s">
        <v>14</v>
      </c>
      <c r="C8" s="22">
        <v>46096</v>
      </c>
      <c r="D8" s="16" t="s">
        <v>12</v>
      </c>
      <c r="E8" s="6">
        <v>0</v>
      </c>
      <c r="F8" s="7">
        <v>22340</v>
      </c>
      <c r="G8" s="19">
        <v>395537.05</v>
      </c>
    </row>
    <row r="9" spans="1:7" ht="21.6" customHeight="1">
      <c r="A9" s="8">
        <v>27251445677</v>
      </c>
      <c r="B9" s="9" t="s">
        <v>15</v>
      </c>
      <c r="C9" s="23">
        <v>46096</v>
      </c>
      <c r="D9" s="9" t="s">
        <v>10</v>
      </c>
      <c r="E9" s="13">
        <v>-335.1</v>
      </c>
      <c r="F9" s="13">
        <v>0</v>
      </c>
      <c r="G9" s="14">
        <v>395201.95</v>
      </c>
    </row>
    <row r="10" spans="1:7" ht="33" customHeight="1">
      <c r="A10" s="15">
        <v>50906465624</v>
      </c>
      <c r="B10" s="16" t="s">
        <v>22</v>
      </c>
      <c r="C10" s="22">
        <v>46096</v>
      </c>
      <c r="D10" s="16" t="s">
        <v>12</v>
      </c>
      <c r="E10" s="6">
        <v>0</v>
      </c>
      <c r="F10" s="7">
        <v>31276.34</v>
      </c>
      <c r="G10" s="19">
        <v>426478.29</v>
      </c>
    </row>
    <row r="11" spans="1:7" ht="21.6" customHeight="1">
      <c r="A11" s="8">
        <v>27206465624</v>
      </c>
      <c r="B11" s="9" t="s">
        <v>15</v>
      </c>
      <c r="C11" s="23">
        <v>46096</v>
      </c>
      <c r="D11" s="9" t="s">
        <v>10</v>
      </c>
      <c r="E11" s="13">
        <v>-469.15</v>
      </c>
      <c r="F11" s="13">
        <v>0</v>
      </c>
      <c r="G11" s="14">
        <v>426009.14</v>
      </c>
    </row>
    <row r="12" spans="1:7" ht="33" customHeight="1">
      <c r="A12" s="15">
        <v>50951547741</v>
      </c>
      <c r="B12" s="16" t="s">
        <v>14</v>
      </c>
      <c r="C12" s="22">
        <v>46097</v>
      </c>
      <c r="D12" s="16" t="s">
        <v>12</v>
      </c>
      <c r="E12" s="6">
        <v>0</v>
      </c>
      <c r="F12" s="7">
        <v>35745</v>
      </c>
      <c r="G12" s="19">
        <v>461754.14</v>
      </c>
    </row>
    <row r="13" spans="1:7" ht="15.6" customHeight="1">
      <c r="A13" s="8">
        <v>27251547741</v>
      </c>
      <c r="B13" s="9" t="s">
        <v>15</v>
      </c>
      <c r="C13" s="23">
        <v>46097</v>
      </c>
      <c r="D13" s="9" t="s">
        <v>10</v>
      </c>
      <c r="E13" s="13">
        <v>-536.17999999999995</v>
      </c>
      <c r="F13" s="13">
        <v>0</v>
      </c>
      <c r="G13" s="14">
        <v>461217.96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21">
        <v>329261377299</v>
      </c>
      <c r="B15" s="16" t="s">
        <v>34</v>
      </c>
      <c r="C15" s="22">
        <v>46097</v>
      </c>
      <c r="D15" s="16" t="s">
        <v>10</v>
      </c>
      <c r="E15" s="7">
        <v>-300000</v>
      </c>
      <c r="F15" s="6">
        <v>0</v>
      </c>
      <c r="G15" s="7">
        <v>161217.96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5" customWidth="1"/>
    <col min="3" max="3" width="14" customWidth="1"/>
    <col min="4" max="4" width="6.6640625" customWidth="1"/>
    <col min="5" max="5" width="14.1640625" customWidth="1"/>
    <col min="6" max="6" width="12.5" customWidth="1"/>
    <col min="7" max="7" width="13.5" customWidth="1"/>
  </cols>
  <sheetData>
    <row r="1" spans="1:7" ht="17.100000000000001" customHeight="1">
      <c r="A1" s="8">
        <v>676261377299</v>
      </c>
      <c r="B1" s="9" t="s">
        <v>17</v>
      </c>
      <c r="C1" s="23">
        <v>46097</v>
      </c>
      <c r="D1" s="9" t="s">
        <v>10</v>
      </c>
      <c r="E1" s="13">
        <v>-750</v>
      </c>
      <c r="F1" s="13">
        <v>0</v>
      </c>
      <c r="G1" s="24">
        <v>160467.96</v>
      </c>
    </row>
    <row r="2" spans="1:7" ht="33" customHeight="1">
      <c r="A2" s="15">
        <v>677263214733</v>
      </c>
      <c r="B2" s="16" t="s">
        <v>24</v>
      </c>
      <c r="C2" s="22">
        <v>46097</v>
      </c>
      <c r="D2" s="16" t="s">
        <v>12</v>
      </c>
      <c r="E2" s="6">
        <v>0</v>
      </c>
      <c r="F2" s="7">
        <v>44680.480000000003</v>
      </c>
      <c r="G2" s="7">
        <v>205148.44</v>
      </c>
    </row>
    <row r="3" spans="1:7" ht="21.6" customHeight="1">
      <c r="A3" s="8">
        <v>210063214733</v>
      </c>
      <c r="B3" s="9" t="s">
        <v>13</v>
      </c>
      <c r="C3" s="23">
        <v>46097</v>
      </c>
      <c r="D3" s="9" t="s">
        <v>10</v>
      </c>
      <c r="E3" s="13">
        <v>-670.21</v>
      </c>
      <c r="F3" s="13">
        <v>0</v>
      </c>
      <c r="G3" s="24">
        <v>204478.23</v>
      </c>
    </row>
    <row r="4" spans="1:7" ht="33" customHeight="1">
      <c r="A4" s="15">
        <v>50955543153</v>
      </c>
      <c r="B4" s="16" t="s">
        <v>20</v>
      </c>
      <c r="C4" s="22">
        <v>46097</v>
      </c>
      <c r="D4" s="16" t="s">
        <v>12</v>
      </c>
      <c r="E4" s="6">
        <v>0</v>
      </c>
      <c r="F4" s="7">
        <v>31276</v>
      </c>
      <c r="G4" s="7">
        <v>235754.23</v>
      </c>
    </row>
    <row r="5" spans="1:7" ht="21.6" customHeight="1">
      <c r="A5" s="8">
        <v>27255543153</v>
      </c>
      <c r="B5" s="9" t="s">
        <v>15</v>
      </c>
      <c r="C5" s="23">
        <v>46097</v>
      </c>
      <c r="D5" s="9" t="s">
        <v>10</v>
      </c>
      <c r="E5" s="13">
        <v>-469.14</v>
      </c>
      <c r="F5" s="13">
        <v>0</v>
      </c>
      <c r="G5" s="24">
        <v>235285.09</v>
      </c>
    </row>
    <row r="6" spans="1:7" ht="33" customHeight="1">
      <c r="A6" s="15">
        <v>677263481344</v>
      </c>
      <c r="B6" s="16" t="s">
        <v>11</v>
      </c>
      <c r="C6" s="22">
        <v>46097</v>
      </c>
      <c r="D6" s="16" t="s">
        <v>12</v>
      </c>
      <c r="E6" s="6">
        <v>0</v>
      </c>
      <c r="F6" s="7">
        <v>20107</v>
      </c>
      <c r="G6" s="7">
        <v>255392.09</v>
      </c>
    </row>
    <row r="7" spans="1:7" ht="21.6" customHeight="1">
      <c r="A7" s="8">
        <v>210063481344</v>
      </c>
      <c r="B7" s="9" t="s">
        <v>13</v>
      </c>
      <c r="C7" s="23">
        <v>46097</v>
      </c>
      <c r="D7" s="9" t="s">
        <v>10</v>
      </c>
      <c r="E7" s="13">
        <v>-301.60000000000002</v>
      </c>
      <c r="F7" s="13">
        <v>0</v>
      </c>
      <c r="G7" s="24">
        <v>255090.49</v>
      </c>
    </row>
    <row r="8" spans="1:7" ht="33" customHeight="1">
      <c r="A8" s="15">
        <v>677263542863</v>
      </c>
      <c r="B8" s="16" t="s">
        <v>11</v>
      </c>
      <c r="C8" s="22">
        <v>46097</v>
      </c>
      <c r="D8" s="16" t="s">
        <v>12</v>
      </c>
      <c r="E8" s="6">
        <v>0</v>
      </c>
      <c r="F8" s="7">
        <v>15450</v>
      </c>
      <c r="G8" s="7">
        <v>270540.49</v>
      </c>
    </row>
    <row r="9" spans="1:7" ht="21.6" customHeight="1">
      <c r="A9" s="8">
        <v>210063542863</v>
      </c>
      <c r="B9" s="9" t="s">
        <v>13</v>
      </c>
      <c r="C9" s="23">
        <v>46097</v>
      </c>
      <c r="D9" s="9" t="s">
        <v>10</v>
      </c>
      <c r="E9" s="13">
        <v>-231.75</v>
      </c>
      <c r="F9" s="13">
        <v>0</v>
      </c>
      <c r="G9" s="24">
        <v>270308.74</v>
      </c>
    </row>
    <row r="10" spans="1:7" ht="33" customHeight="1">
      <c r="A10" s="15">
        <v>329261437505</v>
      </c>
      <c r="B10" s="16" t="s">
        <v>35</v>
      </c>
      <c r="C10" s="22">
        <v>46097</v>
      </c>
      <c r="D10" s="16" t="s">
        <v>10</v>
      </c>
      <c r="E10" s="7">
        <v>-250000</v>
      </c>
      <c r="F10" s="6">
        <v>0</v>
      </c>
      <c r="G10" s="7">
        <v>20308.740000000002</v>
      </c>
    </row>
    <row r="11" spans="1:7" ht="21.6" customHeight="1">
      <c r="A11" s="8">
        <v>676261437505</v>
      </c>
      <c r="B11" s="9" t="s">
        <v>17</v>
      </c>
      <c r="C11" s="23">
        <v>46097</v>
      </c>
      <c r="D11" s="9" t="s">
        <v>10</v>
      </c>
      <c r="E11" s="13">
        <v>-625</v>
      </c>
      <c r="F11" s="13">
        <v>0</v>
      </c>
      <c r="G11" s="24">
        <v>19683.740000000002</v>
      </c>
    </row>
    <row r="12" spans="1:7" ht="33" customHeight="1">
      <c r="A12" s="15">
        <v>50951812083</v>
      </c>
      <c r="B12" s="16" t="s">
        <v>14</v>
      </c>
      <c r="C12" s="22">
        <v>46097</v>
      </c>
      <c r="D12" s="16" t="s">
        <v>12</v>
      </c>
      <c r="E12" s="6">
        <v>0</v>
      </c>
      <c r="F12" s="7">
        <v>13400</v>
      </c>
      <c r="G12" s="7">
        <v>33083.74</v>
      </c>
    </row>
    <row r="13" spans="1:7" ht="15.6" customHeight="1">
      <c r="A13" s="8">
        <v>27251812083</v>
      </c>
      <c r="B13" s="9" t="s">
        <v>15</v>
      </c>
      <c r="C13" s="23">
        <v>46097</v>
      </c>
      <c r="D13" s="9" t="s">
        <v>10</v>
      </c>
      <c r="E13" s="13">
        <v>-201</v>
      </c>
      <c r="F13" s="13">
        <v>0</v>
      </c>
      <c r="G13" s="24">
        <v>32882.74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21">
        <v>50907494978</v>
      </c>
      <c r="B15" s="16" t="s">
        <v>22</v>
      </c>
      <c r="C15" s="22">
        <v>46097</v>
      </c>
      <c r="D15" s="16" t="s">
        <v>12</v>
      </c>
      <c r="E15" s="6">
        <v>0</v>
      </c>
      <c r="F15" s="7">
        <v>22340.240000000002</v>
      </c>
      <c r="G15" s="7">
        <v>55222.98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5" customWidth="1"/>
    <col min="3" max="3" width="14" customWidth="1"/>
    <col min="4" max="4" width="6.6640625" customWidth="1"/>
    <col min="5" max="5" width="14.1640625" customWidth="1"/>
    <col min="6" max="6" width="12.5" customWidth="1"/>
    <col min="7" max="7" width="13.5" customWidth="1"/>
  </cols>
  <sheetData>
    <row r="1" spans="1:7" ht="17.100000000000001" customHeight="1">
      <c r="A1" s="8">
        <v>27207494978</v>
      </c>
      <c r="B1" s="9" t="s">
        <v>15</v>
      </c>
      <c r="C1" s="23">
        <v>46097</v>
      </c>
      <c r="D1" s="9" t="s">
        <v>10</v>
      </c>
      <c r="E1" s="13">
        <v>-335.1</v>
      </c>
      <c r="F1" s="13">
        <v>0</v>
      </c>
      <c r="G1" s="24">
        <v>54887.88</v>
      </c>
    </row>
    <row r="2" spans="1:7" ht="33" customHeight="1">
      <c r="A2" s="15">
        <v>50957543262</v>
      </c>
      <c r="B2" s="16" t="s">
        <v>20</v>
      </c>
      <c r="C2" s="22">
        <v>46097</v>
      </c>
      <c r="D2" s="16" t="s">
        <v>12</v>
      </c>
      <c r="E2" s="6">
        <v>0</v>
      </c>
      <c r="F2" s="7">
        <v>26808</v>
      </c>
      <c r="G2" s="7">
        <v>81695.88</v>
      </c>
    </row>
    <row r="3" spans="1:7" ht="21.6" customHeight="1">
      <c r="A3" s="8">
        <v>27257543262</v>
      </c>
      <c r="B3" s="9" t="s">
        <v>15</v>
      </c>
      <c r="C3" s="23">
        <v>46097</v>
      </c>
      <c r="D3" s="9" t="s">
        <v>10</v>
      </c>
      <c r="E3" s="13">
        <v>-402.12</v>
      </c>
      <c r="F3" s="13">
        <v>0</v>
      </c>
      <c r="G3" s="24">
        <v>81293.759999999995</v>
      </c>
    </row>
    <row r="4" spans="1:7" ht="33" customHeight="1">
      <c r="A4" s="15">
        <v>50967632326</v>
      </c>
      <c r="B4" s="16" t="s">
        <v>36</v>
      </c>
      <c r="C4" s="22">
        <v>46098</v>
      </c>
      <c r="D4" s="16" t="s">
        <v>12</v>
      </c>
      <c r="E4" s="6">
        <v>0</v>
      </c>
      <c r="F4" s="7">
        <v>70300</v>
      </c>
      <c r="G4" s="7">
        <v>151593.76</v>
      </c>
    </row>
    <row r="5" spans="1:7" ht="21.6" customHeight="1">
      <c r="A5" s="8">
        <v>27267632326</v>
      </c>
      <c r="B5" s="9" t="s">
        <v>15</v>
      </c>
      <c r="C5" s="23">
        <v>46098</v>
      </c>
      <c r="D5" s="9" t="s">
        <v>10</v>
      </c>
      <c r="E5" s="24">
        <v>-1054.5</v>
      </c>
      <c r="F5" s="13">
        <v>0</v>
      </c>
      <c r="G5" s="24">
        <v>150539.26</v>
      </c>
    </row>
    <row r="6" spans="1:7" ht="33" customHeight="1">
      <c r="A6" s="15">
        <v>50969660769</v>
      </c>
      <c r="B6" s="16" t="s">
        <v>20</v>
      </c>
      <c r="C6" s="22">
        <v>46098</v>
      </c>
      <c r="D6" s="16" t="s">
        <v>12</v>
      </c>
      <c r="E6" s="6">
        <v>0</v>
      </c>
      <c r="F6" s="7">
        <v>26902.2</v>
      </c>
      <c r="G6" s="7">
        <v>177441.46</v>
      </c>
    </row>
    <row r="7" spans="1:7" ht="21.6" customHeight="1">
      <c r="A7" s="8">
        <v>27269660769</v>
      </c>
      <c r="B7" s="9" t="s">
        <v>15</v>
      </c>
      <c r="C7" s="23">
        <v>46098</v>
      </c>
      <c r="D7" s="9" t="s">
        <v>10</v>
      </c>
      <c r="E7" s="13">
        <v>-403.53</v>
      </c>
      <c r="F7" s="13">
        <v>0</v>
      </c>
      <c r="G7" s="24">
        <v>177037.93</v>
      </c>
    </row>
    <row r="8" spans="1:7" ht="33" customHeight="1">
      <c r="A8" s="15">
        <v>50952050863</v>
      </c>
      <c r="B8" s="16" t="s">
        <v>14</v>
      </c>
      <c r="C8" s="22">
        <v>46098</v>
      </c>
      <c r="D8" s="16" t="s">
        <v>12</v>
      </c>
      <c r="E8" s="6">
        <v>0</v>
      </c>
      <c r="F8" s="7">
        <v>24200</v>
      </c>
      <c r="G8" s="7">
        <v>201237.93</v>
      </c>
    </row>
    <row r="9" spans="1:7" ht="21.6" customHeight="1">
      <c r="A9" s="8">
        <v>27252050863</v>
      </c>
      <c r="B9" s="9" t="s">
        <v>15</v>
      </c>
      <c r="C9" s="23">
        <v>46098</v>
      </c>
      <c r="D9" s="9" t="s">
        <v>10</v>
      </c>
      <c r="E9" s="13">
        <v>-363</v>
      </c>
      <c r="F9" s="13">
        <v>0</v>
      </c>
      <c r="G9" s="24">
        <v>200874.93</v>
      </c>
    </row>
    <row r="10" spans="1:7" ht="33" customHeight="1">
      <c r="A10" s="15">
        <v>677266461611</v>
      </c>
      <c r="B10" s="16" t="s">
        <v>11</v>
      </c>
      <c r="C10" s="22">
        <v>46098</v>
      </c>
      <c r="D10" s="16" t="s">
        <v>12</v>
      </c>
      <c r="E10" s="6">
        <v>0</v>
      </c>
      <c r="F10" s="7">
        <v>22418.43</v>
      </c>
      <c r="G10" s="7">
        <v>223293.36</v>
      </c>
    </row>
    <row r="11" spans="1:7" ht="21.6" customHeight="1">
      <c r="A11" s="8">
        <v>210066461611</v>
      </c>
      <c r="B11" s="9" t="s">
        <v>13</v>
      </c>
      <c r="C11" s="23">
        <v>46098</v>
      </c>
      <c r="D11" s="9" t="s">
        <v>10</v>
      </c>
      <c r="E11" s="13">
        <v>-336.28</v>
      </c>
      <c r="F11" s="13">
        <v>0</v>
      </c>
      <c r="G11" s="24">
        <v>222957.08</v>
      </c>
    </row>
    <row r="12" spans="1:7" ht="33" customHeight="1">
      <c r="A12" s="15">
        <v>329265094704</v>
      </c>
      <c r="B12" s="16" t="s">
        <v>37</v>
      </c>
      <c r="C12" s="22">
        <v>46099</v>
      </c>
      <c r="D12" s="16" t="s">
        <v>10</v>
      </c>
      <c r="E12" s="7">
        <v>-40000</v>
      </c>
      <c r="F12" s="6">
        <v>0</v>
      </c>
      <c r="G12" s="7">
        <v>182957.08</v>
      </c>
    </row>
    <row r="13" spans="1:7" ht="15.6" customHeight="1">
      <c r="A13" s="8">
        <v>676265094704</v>
      </c>
      <c r="B13" s="9" t="s">
        <v>17</v>
      </c>
      <c r="C13" s="23">
        <v>46099</v>
      </c>
      <c r="D13" s="9" t="s">
        <v>10</v>
      </c>
      <c r="E13" s="13">
        <v>-100</v>
      </c>
      <c r="F13" s="13">
        <v>0</v>
      </c>
      <c r="G13" s="24">
        <v>182857.08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21">
        <v>329265174274</v>
      </c>
      <c r="B15" s="16" t="s">
        <v>38</v>
      </c>
      <c r="C15" s="22">
        <v>46099</v>
      </c>
      <c r="D15" s="16" t="s">
        <v>10</v>
      </c>
      <c r="E15" s="7">
        <v>-20000</v>
      </c>
      <c r="F15" s="6">
        <v>0</v>
      </c>
      <c r="G15" s="7">
        <v>162857.07999999999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5" customWidth="1"/>
    <col min="3" max="3" width="14" customWidth="1"/>
    <col min="4" max="4" width="6.6640625" customWidth="1"/>
    <col min="5" max="5" width="14.1640625" customWidth="1"/>
    <col min="6" max="6" width="12.5" customWidth="1"/>
    <col min="7" max="7" width="13.5" customWidth="1"/>
  </cols>
  <sheetData>
    <row r="1" spans="1:7" ht="17.100000000000001" customHeight="1">
      <c r="A1" s="8">
        <v>676265174274</v>
      </c>
      <c r="B1" s="9" t="s">
        <v>17</v>
      </c>
      <c r="C1" s="23">
        <v>46099</v>
      </c>
      <c r="D1" s="9" t="s">
        <v>10</v>
      </c>
      <c r="E1" s="13">
        <v>-50</v>
      </c>
      <c r="F1" s="13">
        <v>0</v>
      </c>
      <c r="G1" s="14">
        <v>162807.07999999999</v>
      </c>
    </row>
    <row r="2" spans="1:7" ht="33" customHeight="1">
      <c r="A2" s="15">
        <v>677268391043</v>
      </c>
      <c r="B2" s="16" t="s">
        <v>11</v>
      </c>
      <c r="C2" s="22">
        <v>46099</v>
      </c>
      <c r="D2" s="16" t="s">
        <v>12</v>
      </c>
      <c r="E2" s="6">
        <v>0</v>
      </c>
      <c r="F2" s="7">
        <v>6773</v>
      </c>
      <c r="G2" s="19">
        <v>169580.08</v>
      </c>
    </row>
    <row r="3" spans="1:7" ht="21.6" customHeight="1">
      <c r="A3" s="8">
        <v>210068391043</v>
      </c>
      <c r="B3" s="9" t="s">
        <v>13</v>
      </c>
      <c r="C3" s="23">
        <v>46099</v>
      </c>
      <c r="D3" s="9" t="s">
        <v>10</v>
      </c>
      <c r="E3" s="13">
        <v>-101.6</v>
      </c>
      <c r="F3" s="13">
        <v>0</v>
      </c>
      <c r="G3" s="14">
        <v>169478.48</v>
      </c>
    </row>
    <row r="4" spans="1:7" ht="33" customHeight="1">
      <c r="A4" s="15">
        <v>50909299668</v>
      </c>
      <c r="B4" s="16" t="s">
        <v>22</v>
      </c>
      <c r="C4" s="22">
        <v>46099</v>
      </c>
      <c r="D4" s="16" t="s">
        <v>12</v>
      </c>
      <c r="E4" s="6">
        <v>0</v>
      </c>
      <c r="F4" s="7">
        <v>18060.29</v>
      </c>
      <c r="G4" s="19">
        <v>187538.77</v>
      </c>
    </row>
    <row r="5" spans="1:7" ht="21.6" customHeight="1">
      <c r="A5" s="8">
        <v>27209299668</v>
      </c>
      <c r="B5" s="9" t="s">
        <v>15</v>
      </c>
      <c r="C5" s="23">
        <v>46099</v>
      </c>
      <c r="D5" s="9" t="s">
        <v>10</v>
      </c>
      <c r="E5" s="13">
        <v>-270.89999999999998</v>
      </c>
      <c r="F5" s="13">
        <v>0</v>
      </c>
      <c r="G5" s="14">
        <v>187267.87</v>
      </c>
    </row>
    <row r="6" spans="1:7" ht="33" customHeight="1">
      <c r="A6" s="15">
        <v>50952433207</v>
      </c>
      <c r="B6" s="16" t="s">
        <v>14</v>
      </c>
      <c r="C6" s="22">
        <v>46100</v>
      </c>
      <c r="D6" s="16" t="s">
        <v>12</v>
      </c>
      <c r="E6" s="6">
        <v>0</v>
      </c>
      <c r="F6" s="7">
        <v>22765</v>
      </c>
      <c r="G6" s="19">
        <v>210032.87</v>
      </c>
    </row>
    <row r="7" spans="1:7" ht="21.6" customHeight="1">
      <c r="A7" s="8">
        <v>27252433207</v>
      </c>
      <c r="B7" s="9" t="s">
        <v>15</v>
      </c>
      <c r="C7" s="23">
        <v>46100</v>
      </c>
      <c r="D7" s="9" t="s">
        <v>10</v>
      </c>
      <c r="E7" s="13">
        <v>-341.47</v>
      </c>
      <c r="F7" s="13">
        <v>0</v>
      </c>
      <c r="G7" s="14">
        <v>209691.4</v>
      </c>
    </row>
    <row r="8" spans="1:7" ht="33" customHeight="1">
      <c r="A8" s="15">
        <v>329265207931</v>
      </c>
      <c r="B8" s="16" t="s">
        <v>39</v>
      </c>
      <c r="C8" s="22">
        <v>46100</v>
      </c>
      <c r="D8" s="16" t="s">
        <v>10</v>
      </c>
      <c r="E8" s="7">
        <v>-50000</v>
      </c>
      <c r="F8" s="6">
        <v>0</v>
      </c>
      <c r="G8" s="19">
        <v>159691.4</v>
      </c>
    </row>
    <row r="9" spans="1:7" ht="21.6" customHeight="1">
      <c r="A9" s="8">
        <v>676265207931</v>
      </c>
      <c r="B9" s="9" t="s">
        <v>17</v>
      </c>
      <c r="C9" s="23">
        <v>46100</v>
      </c>
      <c r="D9" s="9" t="s">
        <v>10</v>
      </c>
      <c r="E9" s="13">
        <v>-125</v>
      </c>
      <c r="F9" s="13">
        <v>0</v>
      </c>
      <c r="G9" s="14">
        <v>159566.39999999999</v>
      </c>
    </row>
    <row r="10" spans="1:7" ht="33" customHeight="1">
      <c r="A10" s="15">
        <v>677269334850</v>
      </c>
      <c r="B10" s="16" t="s">
        <v>11</v>
      </c>
      <c r="C10" s="22">
        <v>46100</v>
      </c>
      <c r="D10" s="16" t="s">
        <v>12</v>
      </c>
      <c r="E10" s="6">
        <v>0</v>
      </c>
      <c r="F10" s="7">
        <v>9031</v>
      </c>
      <c r="G10" s="19">
        <v>168597.4</v>
      </c>
    </row>
    <row r="11" spans="1:7" ht="21.6" customHeight="1">
      <c r="A11" s="8">
        <v>210069334850</v>
      </c>
      <c r="B11" s="9" t="s">
        <v>13</v>
      </c>
      <c r="C11" s="23">
        <v>46100</v>
      </c>
      <c r="D11" s="9" t="s">
        <v>10</v>
      </c>
      <c r="E11" s="13">
        <v>-135.47</v>
      </c>
      <c r="F11" s="13">
        <v>0</v>
      </c>
      <c r="G11" s="14">
        <v>168461.93</v>
      </c>
    </row>
    <row r="12" spans="1:7" ht="33" customHeight="1">
      <c r="A12" s="15">
        <v>329265297888</v>
      </c>
      <c r="B12" s="16" t="s">
        <v>40</v>
      </c>
      <c r="C12" s="22">
        <v>46100</v>
      </c>
      <c r="D12" s="16" t="s">
        <v>10</v>
      </c>
      <c r="E12" s="7">
        <v>-20000</v>
      </c>
      <c r="F12" s="6">
        <v>0</v>
      </c>
      <c r="G12" s="19">
        <v>148461.93</v>
      </c>
    </row>
    <row r="13" spans="1:7" ht="15.6" customHeight="1">
      <c r="A13" s="8">
        <v>676265297888</v>
      </c>
      <c r="B13" s="9" t="s">
        <v>17</v>
      </c>
      <c r="C13" s="23">
        <v>46100</v>
      </c>
      <c r="D13" s="9" t="s">
        <v>10</v>
      </c>
      <c r="E13" s="13">
        <v>-50</v>
      </c>
      <c r="F13" s="13">
        <v>0</v>
      </c>
      <c r="G13" s="14">
        <v>148411.93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21">
        <v>50952619306</v>
      </c>
      <c r="B15" s="16" t="s">
        <v>14</v>
      </c>
      <c r="C15" s="22">
        <v>46100</v>
      </c>
      <c r="D15" s="16" t="s">
        <v>12</v>
      </c>
      <c r="E15" s="6">
        <v>0</v>
      </c>
      <c r="F15" s="7">
        <v>22760</v>
      </c>
      <c r="G15" s="7">
        <v>171171.93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5" customWidth="1"/>
    <col min="3" max="3" width="14" customWidth="1"/>
    <col min="4" max="4" width="6.6640625" customWidth="1"/>
    <col min="5" max="5" width="14.1640625" customWidth="1"/>
    <col min="6" max="6" width="12.5" customWidth="1"/>
    <col min="7" max="7" width="13.5" customWidth="1"/>
  </cols>
  <sheetData>
    <row r="1" spans="1:7" ht="17.100000000000001" customHeight="1">
      <c r="A1" s="8">
        <v>27252619306</v>
      </c>
      <c r="B1" s="9" t="s">
        <v>15</v>
      </c>
      <c r="C1" s="23">
        <v>46100</v>
      </c>
      <c r="D1" s="9" t="s">
        <v>10</v>
      </c>
      <c r="E1" s="13">
        <v>-341.4</v>
      </c>
      <c r="F1" s="13">
        <v>0</v>
      </c>
      <c r="G1" s="14">
        <v>170830.53</v>
      </c>
    </row>
    <row r="2" spans="1:7" ht="33" customHeight="1">
      <c r="A2" s="15">
        <v>50910146543</v>
      </c>
      <c r="B2" s="16" t="s">
        <v>22</v>
      </c>
      <c r="C2" s="22">
        <v>46100</v>
      </c>
      <c r="D2" s="16" t="s">
        <v>12</v>
      </c>
      <c r="E2" s="6">
        <v>0</v>
      </c>
      <c r="F2" s="7">
        <v>22762.74</v>
      </c>
      <c r="G2" s="19">
        <v>193593.27</v>
      </c>
    </row>
    <row r="3" spans="1:7" ht="21.6" customHeight="1">
      <c r="A3" s="8">
        <v>27210146543</v>
      </c>
      <c r="B3" s="9" t="s">
        <v>15</v>
      </c>
      <c r="C3" s="23">
        <v>46100</v>
      </c>
      <c r="D3" s="9" t="s">
        <v>10</v>
      </c>
      <c r="E3" s="13">
        <v>-341.44</v>
      </c>
      <c r="F3" s="13">
        <v>0</v>
      </c>
      <c r="G3" s="14">
        <v>193251.83</v>
      </c>
    </row>
    <row r="4" spans="1:7" ht="33" customHeight="1">
      <c r="A4" s="15">
        <v>677270880724</v>
      </c>
      <c r="B4" s="16" t="s">
        <v>11</v>
      </c>
      <c r="C4" s="22">
        <v>46101</v>
      </c>
      <c r="D4" s="16" t="s">
        <v>12</v>
      </c>
      <c r="E4" s="6">
        <v>0</v>
      </c>
      <c r="F4" s="7">
        <v>2550</v>
      </c>
      <c r="G4" s="19">
        <v>195801.83</v>
      </c>
    </row>
    <row r="5" spans="1:7" ht="21.6" customHeight="1">
      <c r="A5" s="8">
        <v>210070880724</v>
      </c>
      <c r="B5" s="9" t="s">
        <v>13</v>
      </c>
      <c r="C5" s="23">
        <v>46101</v>
      </c>
      <c r="D5" s="9" t="s">
        <v>10</v>
      </c>
      <c r="E5" s="13">
        <v>-38.25</v>
      </c>
      <c r="F5" s="13">
        <v>0</v>
      </c>
      <c r="G5" s="14">
        <v>195763.58</v>
      </c>
    </row>
    <row r="6" spans="1:7" ht="33" customHeight="1">
      <c r="A6" s="15">
        <v>677271532791</v>
      </c>
      <c r="B6" s="16" t="s">
        <v>11</v>
      </c>
      <c r="C6" s="22">
        <v>46101</v>
      </c>
      <c r="D6" s="16" t="s">
        <v>12</v>
      </c>
      <c r="E6" s="6">
        <v>0</v>
      </c>
      <c r="F6" s="7">
        <v>9106</v>
      </c>
      <c r="G6" s="19">
        <v>204869.58</v>
      </c>
    </row>
    <row r="7" spans="1:7" ht="21.6" customHeight="1">
      <c r="A7" s="8">
        <v>210071532791</v>
      </c>
      <c r="B7" s="9" t="s">
        <v>13</v>
      </c>
      <c r="C7" s="23">
        <v>46101</v>
      </c>
      <c r="D7" s="9" t="s">
        <v>10</v>
      </c>
      <c r="E7" s="13">
        <v>-136.59</v>
      </c>
      <c r="F7" s="13">
        <v>0</v>
      </c>
      <c r="G7" s="14">
        <v>204732.99</v>
      </c>
    </row>
    <row r="8" spans="1:7" ht="33" customHeight="1">
      <c r="A8" s="15">
        <v>677271765701</v>
      </c>
      <c r="B8" s="16" t="s">
        <v>24</v>
      </c>
      <c r="C8" s="22">
        <v>46101</v>
      </c>
      <c r="D8" s="16" t="s">
        <v>12</v>
      </c>
      <c r="E8" s="6">
        <v>0</v>
      </c>
      <c r="F8" s="7">
        <v>91050.94</v>
      </c>
      <c r="G8" s="19">
        <v>295783.93</v>
      </c>
    </row>
    <row r="9" spans="1:7" ht="21.6" customHeight="1">
      <c r="A9" s="8">
        <v>210071765701</v>
      </c>
      <c r="B9" s="9" t="s">
        <v>13</v>
      </c>
      <c r="C9" s="23">
        <v>46101</v>
      </c>
      <c r="D9" s="9" t="s">
        <v>10</v>
      </c>
      <c r="E9" s="24">
        <v>-1365.76</v>
      </c>
      <c r="F9" s="13">
        <v>0</v>
      </c>
      <c r="G9" s="14">
        <v>294418.17</v>
      </c>
    </row>
    <row r="10" spans="1:7" ht="33" customHeight="1">
      <c r="A10" s="15">
        <v>50952858082</v>
      </c>
      <c r="B10" s="16" t="s">
        <v>14</v>
      </c>
      <c r="C10" s="22">
        <v>46101</v>
      </c>
      <c r="D10" s="16" t="s">
        <v>12</v>
      </c>
      <c r="E10" s="6">
        <v>0</v>
      </c>
      <c r="F10" s="7">
        <v>18210</v>
      </c>
      <c r="G10" s="19">
        <v>312628.17</v>
      </c>
    </row>
    <row r="11" spans="1:7" ht="21.6" customHeight="1">
      <c r="A11" s="8">
        <v>27252858082</v>
      </c>
      <c r="B11" s="9" t="s">
        <v>15</v>
      </c>
      <c r="C11" s="23">
        <v>46101</v>
      </c>
      <c r="D11" s="9" t="s">
        <v>10</v>
      </c>
      <c r="E11" s="13">
        <v>-273.14999999999998</v>
      </c>
      <c r="F11" s="13">
        <v>0</v>
      </c>
      <c r="G11" s="14">
        <v>312355.02</v>
      </c>
    </row>
    <row r="12" spans="1:7" ht="33" customHeight="1">
      <c r="A12" s="15">
        <v>50910802528</v>
      </c>
      <c r="B12" s="16" t="s">
        <v>22</v>
      </c>
      <c r="C12" s="22">
        <v>46101</v>
      </c>
      <c r="D12" s="16" t="s">
        <v>12</v>
      </c>
      <c r="E12" s="6">
        <v>0</v>
      </c>
      <c r="F12" s="7">
        <v>27315.279999999999</v>
      </c>
      <c r="G12" s="19">
        <v>339670.3</v>
      </c>
    </row>
    <row r="13" spans="1:7" ht="15.6" customHeight="1">
      <c r="A13" s="8">
        <v>27210802528</v>
      </c>
      <c r="B13" s="9" t="s">
        <v>15</v>
      </c>
      <c r="C13" s="23">
        <v>46101</v>
      </c>
      <c r="D13" s="9" t="s">
        <v>10</v>
      </c>
      <c r="E13" s="13">
        <v>-409.73</v>
      </c>
      <c r="F13" s="13">
        <v>0</v>
      </c>
      <c r="G13" s="14">
        <v>339260.57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21">
        <v>677273108743</v>
      </c>
      <c r="B15" s="16" t="s">
        <v>41</v>
      </c>
      <c r="C15" s="22">
        <v>46102</v>
      </c>
      <c r="D15" s="16" t="s">
        <v>12</v>
      </c>
      <c r="E15" s="6">
        <v>0</v>
      </c>
      <c r="F15" s="7">
        <v>58500</v>
      </c>
      <c r="G15" s="7">
        <v>397760.57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5" customWidth="1"/>
    <col min="3" max="3" width="14" customWidth="1"/>
    <col min="4" max="4" width="6.6640625" customWidth="1"/>
    <col min="5" max="5" width="14.1640625" customWidth="1"/>
    <col min="6" max="6" width="12.5" customWidth="1"/>
    <col min="7" max="7" width="13.5" customWidth="1"/>
  </cols>
  <sheetData>
    <row r="1" spans="1:7" ht="17.100000000000001" customHeight="1">
      <c r="A1" s="8">
        <v>210073108743</v>
      </c>
      <c r="B1" s="9" t="s">
        <v>13</v>
      </c>
      <c r="C1" s="23">
        <v>46102</v>
      </c>
      <c r="D1" s="9" t="s">
        <v>10</v>
      </c>
      <c r="E1" s="13">
        <v>-877.5</v>
      </c>
      <c r="F1" s="13">
        <v>0</v>
      </c>
      <c r="G1" s="14">
        <v>396883.07</v>
      </c>
    </row>
    <row r="2" spans="1:7" ht="33" customHeight="1">
      <c r="A2" s="15">
        <v>329265630825</v>
      </c>
      <c r="B2" s="16" t="s">
        <v>42</v>
      </c>
      <c r="C2" s="22">
        <v>46102</v>
      </c>
      <c r="D2" s="16" t="s">
        <v>10</v>
      </c>
      <c r="E2" s="7">
        <v>-20000</v>
      </c>
      <c r="F2" s="6">
        <v>0</v>
      </c>
      <c r="G2" s="19">
        <v>376883.07</v>
      </c>
    </row>
    <row r="3" spans="1:7" ht="21.6" customHeight="1">
      <c r="A3" s="8">
        <v>676265630825</v>
      </c>
      <c r="B3" s="9" t="s">
        <v>17</v>
      </c>
      <c r="C3" s="23">
        <v>46102</v>
      </c>
      <c r="D3" s="9" t="s">
        <v>10</v>
      </c>
      <c r="E3" s="13">
        <v>-50</v>
      </c>
      <c r="F3" s="13">
        <v>0</v>
      </c>
      <c r="G3" s="14">
        <v>376833.07</v>
      </c>
    </row>
    <row r="4" spans="1:7" ht="33" customHeight="1">
      <c r="A4" s="15">
        <v>677273752058</v>
      </c>
      <c r="B4" s="16" t="s">
        <v>11</v>
      </c>
      <c r="C4" s="22">
        <v>46102</v>
      </c>
      <c r="D4" s="16" t="s">
        <v>12</v>
      </c>
      <c r="E4" s="6">
        <v>0</v>
      </c>
      <c r="F4" s="7">
        <v>13658</v>
      </c>
      <c r="G4" s="19">
        <v>390491.07</v>
      </c>
    </row>
    <row r="5" spans="1:7" ht="21.6" customHeight="1">
      <c r="A5" s="8">
        <v>210073752058</v>
      </c>
      <c r="B5" s="9" t="s">
        <v>13</v>
      </c>
      <c r="C5" s="23">
        <v>46102</v>
      </c>
      <c r="D5" s="9" t="s">
        <v>10</v>
      </c>
      <c r="E5" s="13">
        <v>-204.87</v>
      </c>
      <c r="F5" s="13">
        <v>0</v>
      </c>
      <c r="G5" s="14">
        <v>390286.2</v>
      </c>
    </row>
    <row r="6" spans="1:7" ht="33" customHeight="1">
      <c r="A6" s="15">
        <v>329265639202</v>
      </c>
      <c r="B6" s="16" t="s">
        <v>43</v>
      </c>
      <c r="C6" s="22">
        <v>46102</v>
      </c>
      <c r="D6" s="16" t="s">
        <v>10</v>
      </c>
      <c r="E6" s="7">
        <v>-25000</v>
      </c>
      <c r="F6" s="6">
        <v>0</v>
      </c>
      <c r="G6" s="19">
        <v>365286.2</v>
      </c>
    </row>
    <row r="7" spans="1:7" ht="21.6" customHeight="1">
      <c r="A7" s="8">
        <v>676265639202</v>
      </c>
      <c r="B7" s="9" t="s">
        <v>17</v>
      </c>
      <c r="C7" s="23">
        <v>46102</v>
      </c>
      <c r="D7" s="9" t="s">
        <v>10</v>
      </c>
      <c r="E7" s="13">
        <v>-62.5</v>
      </c>
      <c r="F7" s="13">
        <v>0</v>
      </c>
      <c r="G7" s="14">
        <v>365223.7</v>
      </c>
    </row>
    <row r="8" spans="1:7" ht="33" customHeight="1">
      <c r="A8" s="15">
        <v>677274269465</v>
      </c>
      <c r="B8" s="16" t="s">
        <v>24</v>
      </c>
      <c r="C8" s="22">
        <v>46102</v>
      </c>
      <c r="D8" s="16" t="s">
        <v>12</v>
      </c>
      <c r="E8" s="6">
        <v>0</v>
      </c>
      <c r="F8" s="7">
        <v>41136.81</v>
      </c>
      <c r="G8" s="19">
        <v>406360.51</v>
      </c>
    </row>
    <row r="9" spans="1:7" ht="21.6" customHeight="1">
      <c r="A9" s="8">
        <v>210074269465</v>
      </c>
      <c r="B9" s="9" t="s">
        <v>13</v>
      </c>
      <c r="C9" s="23">
        <v>46102</v>
      </c>
      <c r="D9" s="9" t="s">
        <v>10</v>
      </c>
      <c r="E9" s="13">
        <v>-617.04999999999995</v>
      </c>
      <c r="F9" s="13">
        <v>0</v>
      </c>
      <c r="G9" s="14">
        <v>405743.46</v>
      </c>
    </row>
    <row r="10" spans="1:7" ht="33" customHeight="1">
      <c r="A10" s="15">
        <v>50912000948</v>
      </c>
      <c r="B10" s="16" t="s">
        <v>22</v>
      </c>
      <c r="C10" s="22">
        <v>46102</v>
      </c>
      <c r="D10" s="16" t="s">
        <v>12</v>
      </c>
      <c r="E10" s="6">
        <v>0</v>
      </c>
      <c r="F10" s="7">
        <v>22853.78</v>
      </c>
      <c r="G10" s="19">
        <v>428597.24</v>
      </c>
    </row>
    <row r="11" spans="1:7" ht="21.6" customHeight="1">
      <c r="A11" s="8">
        <v>27212000948</v>
      </c>
      <c r="B11" s="9" t="s">
        <v>15</v>
      </c>
      <c r="C11" s="23">
        <v>46102</v>
      </c>
      <c r="D11" s="9" t="s">
        <v>10</v>
      </c>
      <c r="E11" s="13">
        <v>-342.81</v>
      </c>
      <c r="F11" s="13">
        <v>0</v>
      </c>
      <c r="G11" s="14">
        <v>428254.43</v>
      </c>
    </row>
    <row r="12" spans="1:7" ht="33" customHeight="1">
      <c r="A12" s="15">
        <v>329265655733</v>
      </c>
      <c r="B12" s="16" t="s">
        <v>44</v>
      </c>
      <c r="C12" s="22">
        <v>46103</v>
      </c>
      <c r="D12" s="16" t="s">
        <v>10</v>
      </c>
      <c r="E12" s="7">
        <v>-200000</v>
      </c>
      <c r="F12" s="6">
        <v>0</v>
      </c>
      <c r="G12" s="19">
        <v>228254.43</v>
      </c>
    </row>
    <row r="13" spans="1:7" ht="15.6" customHeight="1">
      <c r="A13" s="8">
        <v>676265655733</v>
      </c>
      <c r="B13" s="9" t="s">
        <v>17</v>
      </c>
      <c r="C13" s="23">
        <v>46103</v>
      </c>
      <c r="D13" s="9" t="s">
        <v>10</v>
      </c>
      <c r="E13" s="13">
        <v>-500</v>
      </c>
      <c r="F13" s="13">
        <v>0</v>
      </c>
      <c r="G13" s="14">
        <v>227754.43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21">
        <v>50915142846</v>
      </c>
      <c r="B15" s="16" t="s">
        <v>20</v>
      </c>
      <c r="C15" s="22">
        <v>46103</v>
      </c>
      <c r="D15" s="16" t="s">
        <v>12</v>
      </c>
      <c r="E15" s="6">
        <v>0</v>
      </c>
      <c r="F15" s="7">
        <v>32452.68</v>
      </c>
      <c r="G15" s="7">
        <v>260207.11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5" customWidth="1"/>
    <col min="3" max="3" width="14" customWidth="1"/>
    <col min="4" max="4" width="6.6640625" customWidth="1"/>
    <col min="5" max="5" width="14.1640625" customWidth="1"/>
    <col min="6" max="6" width="12.5" customWidth="1"/>
    <col min="7" max="7" width="13.5" customWidth="1"/>
  </cols>
  <sheetData>
    <row r="1" spans="1:7" ht="17.100000000000001" customHeight="1">
      <c r="A1" s="8">
        <v>27215142846</v>
      </c>
      <c r="B1" s="9" t="s">
        <v>15</v>
      </c>
      <c r="C1" s="23">
        <v>46103</v>
      </c>
      <c r="D1" s="9" t="s">
        <v>10</v>
      </c>
      <c r="E1" s="13">
        <v>-486.79</v>
      </c>
      <c r="F1" s="13">
        <v>0</v>
      </c>
      <c r="G1" s="14">
        <v>259720.32000000001</v>
      </c>
    </row>
    <row r="2" spans="1:7" ht="33" customHeight="1">
      <c r="A2" s="15">
        <v>50953406718</v>
      </c>
      <c r="B2" s="16" t="s">
        <v>14</v>
      </c>
      <c r="C2" s="22">
        <v>46103</v>
      </c>
      <c r="D2" s="16" t="s">
        <v>12</v>
      </c>
      <c r="E2" s="6">
        <v>0</v>
      </c>
      <c r="F2" s="6">
        <v>915</v>
      </c>
      <c r="G2" s="19">
        <v>260635.32</v>
      </c>
    </row>
    <row r="3" spans="1:7" ht="21.6" customHeight="1">
      <c r="A3" s="8">
        <v>27253406718</v>
      </c>
      <c r="B3" s="9" t="s">
        <v>15</v>
      </c>
      <c r="C3" s="23">
        <v>46103</v>
      </c>
      <c r="D3" s="9" t="s">
        <v>10</v>
      </c>
      <c r="E3" s="13">
        <v>-13.73</v>
      </c>
      <c r="F3" s="13">
        <v>0</v>
      </c>
      <c r="G3" s="14">
        <v>260621.59</v>
      </c>
    </row>
    <row r="4" spans="1:7" ht="33" customHeight="1">
      <c r="A4" s="15">
        <v>50916289365</v>
      </c>
      <c r="B4" s="16" t="s">
        <v>36</v>
      </c>
      <c r="C4" s="22">
        <v>46103</v>
      </c>
      <c r="D4" s="16" t="s">
        <v>12</v>
      </c>
      <c r="E4" s="6">
        <v>0</v>
      </c>
      <c r="F4" s="7">
        <v>31200</v>
      </c>
      <c r="G4" s="19">
        <v>291821.59000000003</v>
      </c>
    </row>
    <row r="5" spans="1:7" ht="21.6" customHeight="1">
      <c r="A5" s="8">
        <v>27216289365</v>
      </c>
      <c r="B5" s="9" t="s">
        <v>15</v>
      </c>
      <c r="C5" s="23">
        <v>46103</v>
      </c>
      <c r="D5" s="9" t="s">
        <v>10</v>
      </c>
      <c r="E5" s="13">
        <v>-468</v>
      </c>
      <c r="F5" s="13">
        <v>0</v>
      </c>
      <c r="G5" s="14">
        <v>291353.59000000003</v>
      </c>
    </row>
    <row r="6" spans="1:7" ht="33" customHeight="1">
      <c r="A6" s="15">
        <v>50916370331</v>
      </c>
      <c r="B6" s="16" t="s">
        <v>20</v>
      </c>
      <c r="C6" s="22">
        <v>46103</v>
      </c>
      <c r="D6" s="16" t="s">
        <v>12</v>
      </c>
      <c r="E6" s="6">
        <v>0</v>
      </c>
      <c r="F6" s="7">
        <v>22854</v>
      </c>
      <c r="G6" s="19">
        <v>314207.59000000003</v>
      </c>
    </row>
    <row r="7" spans="1:7" ht="21.6" customHeight="1">
      <c r="A7" s="8">
        <v>27216370331</v>
      </c>
      <c r="B7" s="9" t="s">
        <v>15</v>
      </c>
      <c r="C7" s="23">
        <v>46103</v>
      </c>
      <c r="D7" s="9" t="s">
        <v>10</v>
      </c>
      <c r="E7" s="13">
        <v>-342.81</v>
      </c>
      <c r="F7" s="13">
        <v>0</v>
      </c>
      <c r="G7" s="14">
        <v>313864.78000000003</v>
      </c>
    </row>
    <row r="8" spans="1:7" ht="33" customHeight="1">
      <c r="A8" s="15">
        <v>50912816937</v>
      </c>
      <c r="B8" s="16" t="s">
        <v>22</v>
      </c>
      <c r="C8" s="22">
        <v>46103</v>
      </c>
      <c r="D8" s="16" t="s">
        <v>12</v>
      </c>
      <c r="E8" s="6">
        <v>0</v>
      </c>
      <c r="F8" s="7">
        <v>27424.54</v>
      </c>
      <c r="G8" s="19">
        <v>341289.32</v>
      </c>
    </row>
    <row r="9" spans="1:7" ht="21.6" customHeight="1">
      <c r="A9" s="8">
        <v>27212816937</v>
      </c>
      <c r="B9" s="9" t="s">
        <v>15</v>
      </c>
      <c r="C9" s="23">
        <v>46103</v>
      </c>
      <c r="D9" s="9" t="s">
        <v>10</v>
      </c>
      <c r="E9" s="13">
        <v>-411.37</v>
      </c>
      <c r="F9" s="13">
        <v>0</v>
      </c>
      <c r="G9" s="14">
        <v>340877.95</v>
      </c>
    </row>
    <row r="10" spans="1:7" ht="33" customHeight="1">
      <c r="A10" s="15">
        <v>677277322177</v>
      </c>
      <c r="B10" s="16" t="s">
        <v>11</v>
      </c>
      <c r="C10" s="22">
        <v>46104</v>
      </c>
      <c r="D10" s="16" t="s">
        <v>12</v>
      </c>
      <c r="E10" s="6">
        <v>0</v>
      </c>
      <c r="F10" s="7">
        <v>68562</v>
      </c>
      <c r="G10" s="19">
        <v>409439.95</v>
      </c>
    </row>
    <row r="11" spans="1:7" ht="21.6" customHeight="1">
      <c r="A11" s="8">
        <v>210077322177</v>
      </c>
      <c r="B11" s="9" t="s">
        <v>13</v>
      </c>
      <c r="C11" s="23">
        <v>46104</v>
      </c>
      <c r="D11" s="9" t="s">
        <v>10</v>
      </c>
      <c r="E11" s="24">
        <v>-1028.43</v>
      </c>
      <c r="F11" s="13">
        <v>0</v>
      </c>
      <c r="G11" s="14">
        <v>408411.52</v>
      </c>
    </row>
    <row r="12" spans="1:7" ht="33" customHeight="1">
      <c r="A12" s="15">
        <v>677277339243</v>
      </c>
      <c r="B12" s="16" t="s">
        <v>24</v>
      </c>
      <c r="C12" s="22">
        <v>46104</v>
      </c>
      <c r="D12" s="16" t="s">
        <v>12</v>
      </c>
      <c r="E12" s="6">
        <v>0</v>
      </c>
      <c r="F12" s="7">
        <v>54849.08</v>
      </c>
      <c r="G12" s="19">
        <v>463260.6</v>
      </c>
    </row>
    <row r="13" spans="1:7" ht="15.6" customHeight="1">
      <c r="A13" s="8">
        <v>210077339243</v>
      </c>
      <c r="B13" s="9" t="s">
        <v>13</v>
      </c>
      <c r="C13" s="23">
        <v>46104</v>
      </c>
      <c r="D13" s="9" t="s">
        <v>10</v>
      </c>
      <c r="E13" s="13">
        <v>-822.74</v>
      </c>
      <c r="F13" s="13">
        <v>0</v>
      </c>
      <c r="G13" s="14">
        <v>462437.86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21">
        <v>50953645197</v>
      </c>
      <c r="B15" s="16" t="s">
        <v>14</v>
      </c>
      <c r="C15" s="22">
        <v>46104</v>
      </c>
      <c r="D15" s="16" t="s">
        <v>12</v>
      </c>
      <c r="E15" s="6">
        <v>0</v>
      </c>
      <c r="F15" s="7">
        <v>32000</v>
      </c>
      <c r="G15" s="7">
        <v>494437.86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5" customWidth="1"/>
    <col min="3" max="3" width="14" customWidth="1"/>
    <col min="4" max="4" width="6.6640625" customWidth="1"/>
    <col min="5" max="5" width="14.1640625" customWidth="1"/>
    <col min="6" max="6" width="12.5" customWidth="1"/>
    <col min="7" max="7" width="13.5" customWidth="1"/>
  </cols>
  <sheetData>
    <row r="1" spans="1:7" ht="17.100000000000001" customHeight="1">
      <c r="A1" s="8">
        <v>27253645197</v>
      </c>
      <c r="B1" s="9" t="s">
        <v>15</v>
      </c>
      <c r="C1" s="23">
        <v>46104</v>
      </c>
      <c r="D1" s="9" t="s">
        <v>10</v>
      </c>
      <c r="E1" s="13">
        <v>-480</v>
      </c>
      <c r="F1" s="13">
        <v>0</v>
      </c>
      <c r="G1" s="14">
        <v>493957.86</v>
      </c>
    </row>
    <row r="2" spans="1:7" ht="33" customHeight="1">
      <c r="A2" s="15">
        <v>50928243039</v>
      </c>
      <c r="B2" s="16" t="s">
        <v>36</v>
      </c>
      <c r="C2" s="22">
        <v>46104</v>
      </c>
      <c r="D2" s="16" t="s">
        <v>12</v>
      </c>
      <c r="E2" s="6">
        <v>0</v>
      </c>
      <c r="F2" s="7">
        <v>45000</v>
      </c>
      <c r="G2" s="19">
        <v>538957.86</v>
      </c>
    </row>
    <row r="3" spans="1:7" ht="21.6" customHeight="1">
      <c r="A3" s="8">
        <v>27228243039</v>
      </c>
      <c r="B3" s="9" t="s">
        <v>15</v>
      </c>
      <c r="C3" s="23">
        <v>46104</v>
      </c>
      <c r="D3" s="9" t="s">
        <v>10</v>
      </c>
      <c r="E3" s="13">
        <v>-675</v>
      </c>
      <c r="F3" s="13">
        <v>0</v>
      </c>
      <c r="G3" s="14">
        <v>538282.86</v>
      </c>
    </row>
    <row r="4" spans="1:7" ht="33" customHeight="1">
      <c r="A4" s="15">
        <v>329265733452</v>
      </c>
      <c r="B4" s="16" t="s">
        <v>45</v>
      </c>
      <c r="C4" s="22">
        <v>46104</v>
      </c>
      <c r="D4" s="16" t="s">
        <v>10</v>
      </c>
      <c r="E4" s="7">
        <v>-300000</v>
      </c>
      <c r="F4" s="6">
        <v>0</v>
      </c>
      <c r="G4" s="19">
        <v>238282.86</v>
      </c>
    </row>
    <row r="5" spans="1:7" ht="21.6" customHeight="1">
      <c r="A5" s="8">
        <v>676265733452</v>
      </c>
      <c r="B5" s="9" t="s">
        <v>17</v>
      </c>
      <c r="C5" s="23">
        <v>46104</v>
      </c>
      <c r="D5" s="9" t="s">
        <v>10</v>
      </c>
      <c r="E5" s="13">
        <v>-750</v>
      </c>
      <c r="F5" s="13">
        <v>0</v>
      </c>
      <c r="G5" s="14">
        <v>237532.86</v>
      </c>
    </row>
    <row r="6" spans="1:7" ht="33" customHeight="1">
      <c r="A6" s="15">
        <v>50953746369</v>
      </c>
      <c r="B6" s="16" t="s">
        <v>14</v>
      </c>
      <c r="C6" s="22">
        <v>46104</v>
      </c>
      <c r="D6" s="16" t="s">
        <v>12</v>
      </c>
      <c r="E6" s="6">
        <v>0</v>
      </c>
      <c r="F6" s="7">
        <v>13710</v>
      </c>
      <c r="G6" s="19">
        <v>251242.86</v>
      </c>
    </row>
    <row r="7" spans="1:7" ht="21.6" customHeight="1">
      <c r="A7" s="8">
        <v>27253746369</v>
      </c>
      <c r="B7" s="9" t="s">
        <v>15</v>
      </c>
      <c r="C7" s="23">
        <v>46104</v>
      </c>
      <c r="D7" s="9" t="s">
        <v>10</v>
      </c>
      <c r="E7" s="13">
        <v>-205.65</v>
      </c>
      <c r="F7" s="13">
        <v>0</v>
      </c>
      <c r="G7" s="14">
        <v>251037.21</v>
      </c>
    </row>
    <row r="8" spans="1:7" ht="33" customHeight="1">
      <c r="A8" s="15">
        <v>50929445153</v>
      </c>
      <c r="B8" s="16" t="s">
        <v>20</v>
      </c>
      <c r="C8" s="22">
        <v>46104</v>
      </c>
      <c r="D8" s="16" t="s">
        <v>12</v>
      </c>
      <c r="E8" s="6">
        <v>0</v>
      </c>
      <c r="F8" s="7">
        <v>36566.400000000001</v>
      </c>
      <c r="G8" s="19">
        <v>287603.61</v>
      </c>
    </row>
    <row r="9" spans="1:7" ht="21.6" customHeight="1">
      <c r="A9" s="8">
        <v>27229445153</v>
      </c>
      <c r="B9" s="9" t="s">
        <v>15</v>
      </c>
      <c r="C9" s="23">
        <v>46104</v>
      </c>
      <c r="D9" s="9" t="s">
        <v>10</v>
      </c>
      <c r="E9" s="13">
        <v>-548.5</v>
      </c>
      <c r="F9" s="13">
        <v>0</v>
      </c>
      <c r="G9" s="14">
        <v>287055.11</v>
      </c>
    </row>
    <row r="10" spans="1:7" ht="33" customHeight="1">
      <c r="A10" s="15">
        <v>677278445670</v>
      </c>
      <c r="B10" s="16" t="s">
        <v>11</v>
      </c>
      <c r="C10" s="22">
        <v>46105</v>
      </c>
      <c r="D10" s="16" t="s">
        <v>12</v>
      </c>
      <c r="E10" s="6">
        <v>0</v>
      </c>
      <c r="F10" s="7">
        <v>11027</v>
      </c>
      <c r="G10" s="19">
        <v>298082.11</v>
      </c>
    </row>
    <row r="11" spans="1:7" ht="21.6" customHeight="1">
      <c r="A11" s="8">
        <v>210078445670</v>
      </c>
      <c r="B11" s="9" t="s">
        <v>13</v>
      </c>
      <c r="C11" s="23">
        <v>46105</v>
      </c>
      <c r="D11" s="9" t="s">
        <v>10</v>
      </c>
      <c r="E11" s="13">
        <v>-165.41</v>
      </c>
      <c r="F11" s="13">
        <v>0</v>
      </c>
      <c r="G11" s="14">
        <v>297916.7</v>
      </c>
    </row>
    <row r="12" spans="1:7" ht="33" customHeight="1">
      <c r="A12" s="15">
        <v>50953888358</v>
      </c>
      <c r="B12" s="16" t="s">
        <v>14</v>
      </c>
      <c r="C12" s="22">
        <v>46105</v>
      </c>
      <c r="D12" s="16" t="s">
        <v>12</v>
      </c>
      <c r="E12" s="6">
        <v>0</v>
      </c>
      <c r="F12" s="7">
        <v>13785</v>
      </c>
      <c r="G12" s="19">
        <v>311701.7</v>
      </c>
    </row>
    <row r="13" spans="1:7" ht="15.6" customHeight="1">
      <c r="A13" s="8">
        <v>27253888358</v>
      </c>
      <c r="B13" s="9" t="s">
        <v>15</v>
      </c>
      <c r="C13" s="23">
        <v>46105</v>
      </c>
      <c r="D13" s="9" t="s">
        <v>10</v>
      </c>
      <c r="E13" s="13">
        <v>-206.78</v>
      </c>
      <c r="F13" s="13">
        <v>0</v>
      </c>
      <c r="G13" s="14">
        <v>311494.92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21">
        <v>329265918902</v>
      </c>
      <c r="B15" s="16" t="s">
        <v>46</v>
      </c>
      <c r="C15" s="22">
        <v>46106</v>
      </c>
      <c r="D15" s="16" t="s">
        <v>10</v>
      </c>
      <c r="E15" s="7">
        <v>-20000</v>
      </c>
      <c r="F15" s="6">
        <v>0</v>
      </c>
      <c r="G15" s="7">
        <v>291494.92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5" customWidth="1"/>
    <col min="3" max="3" width="14" customWidth="1"/>
    <col min="4" max="4" width="6.6640625" customWidth="1"/>
    <col min="5" max="5" width="14.1640625" customWidth="1"/>
    <col min="6" max="6" width="12.5" customWidth="1"/>
    <col min="7" max="7" width="13.5" customWidth="1"/>
  </cols>
  <sheetData>
    <row r="1" spans="1:7" ht="17.100000000000001" customHeight="1">
      <c r="A1" s="8">
        <v>676265918902</v>
      </c>
      <c r="B1" s="9" t="s">
        <v>17</v>
      </c>
      <c r="C1" s="23">
        <v>46106</v>
      </c>
      <c r="D1" s="9" t="s">
        <v>10</v>
      </c>
      <c r="E1" s="13">
        <v>-50</v>
      </c>
      <c r="F1" s="13">
        <v>0</v>
      </c>
      <c r="G1" s="14">
        <v>291444.92</v>
      </c>
    </row>
    <row r="2" spans="1:7" ht="33" customHeight="1">
      <c r="A2" s="15">
        <v>677280559489</v>
      </c>
      <c r="B2" s="16" t="s">
        <v>11</v>
      </c>
      <c r="C2" s="22">
        <v>46106</v>
      </c>
      <c r="D2" s="16" t="s">
        <v>12</v>
      </c>
      <c r="E2" s="6">
        <v>0</v>
      </c>
      <c r="F2" s="7">
        <v>9254</v>
      </c>
      <c r="G2" s="19">
        <v>300698.92</v>
      </c>
    </row>
    <row r="3" spans="1:7" ht="21.6" customHeight="1">
      <c r="A3" s="8">
        <v>210080559489</v>
      </c>
      <c r="B3" s="9" t="s">
        <v>13</v>
      </c>
      <c r="C3" s="23">
        <v>46106</v>
      </c>
      <c r="D3" s="9" t="s">
        <v>10</v>
      </c>
      <c r="E3" s="13">
        <v>-138.81</v>
      </c>
      <c r="F3" s="13">
        <v>0</v>
      </c>
      <c r="G3" s="14">
        <v>300560.11</v>
      </c>
    </row>
    <row r="4" spans="1:7" ht="33" customHeight="1">
      <c r="A4" s="15">
        <v>50954133269</v>
      </c>
      <c r="B4" s="16" t="s">
        <v>14</v>
      </c>
      <c r="C4" s="22">
        <v>46106</v>
      </c>
      <c r="D4" s="16" t="s">
        <v>12</v>
      </c>
      <c r="E4" s="6">
        <v>0</v>
      </c>
      <c r="F4" s="7">
        <v>46266</v>
      </c>
      <c r="G4" s="19">
        <v>346826.11</v>
      </c>
    </row>
    <row r="5" spans="1:7" ht="21.6" customHeight="1">
      <c r="A5" s="8">
        <v>27254133269</v>
      </c>
      <c r="B5" s="9" t="s">
        <v>15</v>
      </c>
      <c r="C5" s="23">
        <v>46106</v>
      </c>
      <c r="D5" s="9" t="s">
        <v>10</v>
      </c>
      <c r="E5" s="13">
        <v>-693.99</v>
      </c>
      <c r="F5" s="13">
        <v>0</v>
      </c>
      <c r="G5" s="14">
        <v>346132.12</v>
      </c>
    </row>
    <row r="6" spans="1:7" ht="33" customHeight="1">
      <c r="A6" s="15">
        <v>677280768856</v>
      </c>
      <c r="B6" s="16" t="s">
        <v>11</v>
      </c>
      <c r="C6" s="22">
        <v>46106</v>
      </c>
      <c r="D6" s="16" t="s">
        <v>12</v>
      </c>
      <c r="E6" s="6">
        <v>0</v>
      </c>
      <c r="F6" s="7">
        <v>13881</v>
      </c>
      <c r="G6" s="19">
        <v>360013.12</v>
      </c>
    </row>
    <row r="7" spans="1:7" ht="21.6" customHeight="1">
      <c r="A7" s="8">
        <v>210080768856</v>
      </c>
      <c r="B7" s="9" t="s">
        <v>13</v>
      </c>
      <c r="C7" s="23">
        <v>46106</v>
      </c>
      <c r="D7" s="9" t="s">
        <v>10</v>
      </c>
      <c r="E7" s="13">
        <v>-208.22</v>
      </c>
      <c r="F7" s="13">
        <v>0</v>
      </c>
      <c r="G7" s="14">
        <v>359804.9</v>
      </c>
    </row>
    <row r="8" spans="1:7" ht="33" customHeight="1">
      <c r="A8" s="15">
        <v>329269450437</v>
      </c>
      <c r="B8" s="16" t="s">
        <v>47</v>
      </c>
      <c r="C8" s="22">
        <v>46106</v>
      </c>
      <c r="D8" s="16" t="s">
        <v>10</v>
      </c>
      <c r="E8" s="7">
        <v>-25000</v>
      </c>
      <c r="F8" s="6">
        <v>0</v>
      </c>
      <c r="G8" s="19">
        <v>334804.90000000002</v>
      </c>
    </row>
    <row r="9" spans="1:7" ht="21.6" customHeight="1">
      <c r="A9" s="8">
        <v>676269450437</v>
      </c>
      <c r="B9" s="9" t="s">
        <v>17</v>
      </c>
      <c r="C9" s="23">
        <v>46106</v>
      </c>
      <c r="D9" s="9" t="s">
        <v>10</v>
      </c>
      <c r="E9" s="13">
        <v>-62.5</v>
      </c>
      <c r="F9" s="13">
        <v>0</v>
      </c>
      <c r="G9" s="14">
        <v>334742.40000000002</v>
      </c>
    </row>
    <row r="10" spans="1:7" ht="33" customHeight="1">
      <c r="A10" s="15">
        <v>50945431666</v>
      </c>
      <c r="B10" s="16" t="s">
        <v>20</v>
      </c>
      <c r="C10" s="22">
        <v>46106</v>
      </c>
      <c r="D10" s="16" t="s">
        <v>12</v>
      </c>
      <c r="E10" s="6">
        <v>0</v>
      </c>
      <c r="F10" s="7">
        <v>23133.5</v>
      </c>
      <c r="G10" s="19">
        <v>357875.9</v>
      </c>
    </row>
    <row r="11" spans="1:7" ht="21.6" customHeight="1">
      <c r="A11" s="8">
        <v>27245431666</v>
      </c>
      <c r="B11" s="9" t="s">
        <v>15</v>
      </c>
      <c r="C11" s="23">
        <v>46106</v>
      </c>
      <c r="D11" s="9" t="s">
        <v>10</v>
      </c>
      <c r="E11" s="13">
        <v>-347</v>
      </c>
      <c r="F11" s="13">
        <v>0</v>
      </c>
      <c r="G11" s="14">
        <v>357528.9</v>
      </c>
    </row>
    <row r="12" spans="1:7" ht="33" customHeight="1">
      <c r="A12" s="15">
        <v>329269508710</v>
      </c>
      <c r="B12" s="16" t="s">
        <v>48</v>
      </c>
      <c r="C12" s="22">
        <v>46107</v>
      </c>
      <c r="D12" s="16" t="s">
        <v>10</v>
      </c>
      <c r="E12" s="7">
        <v>-32000</v>
      </c>
      <c r="F12" s="6">
        <v>0</v>
      </c>
      <c r="G12" s="19">
        <v>325528.90000000002</v>
      </c>
    </row>
    <row r="13" spans="1:7" ht="15.6" customHeight="1">
      <c r="A13" s="8">
        <v>676269508710</v>
      </c>
      <c r="B13" s="9" t="s">
        <v>17</v>
      </c>
      <c r="C13" s="23">
        <v>46107</v>
      </c>
      <c r="D13" s="9" t="s">
        <v>10</v>
      </c>
      <c r="E13" s="13">
        <v>-80</v>
      </c>
      <c r="F13" s="13">
        <v>0</v>
      </c>
      <c r="G13" s="14">
        <v>325448.90000000002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21">
        <v>677282779605</v>
      </c>
      <c r="B15" s="16" t="s">
        <v>11</v>
      </c>
      <c r="C15" s="22">
        <v>46107</v>
      </c>
      <c r="D15" s="16" t="s">
        <v>12</v>
      </c>
      <c r="E15" s="6">
        <v>0</v>
      </c>
      <c r="F15" s="7">
        <v>13999</v>
      </c>
      <c r="G15" s="7">
        <v>339447.9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5" customWidth="1"/>
    <col min="3" max="3" width="14" customWidth="1"/>
    <col min="4" max="4" width="6.6640625" customWidth="1"/>
    <col min="5" max="5" width="14.1640625" customWidth="1"/>
    <col min="6" max="6" width="12.5" customWidth="1"/>
    <col min="7" max="7" width="13.5" customWidth="1"/>
  </cols>
  <sheetData>
    <row r="1" spans="1:7" ht="17.100000000000001" customHeight="1">
      <c r="A1" s="8">
        <v>210082779605</v>
      </c>
      <c r="B1" s="9" t="s">
        <v>13</v>
      </c>
      <c r="C1" s="23">
        <v>46107</v>
      </c>
      <c r="D1" s="9" t="s">
        <v>10</v>
      </c>
      <c r="E1" s="13">
        <v>-209.98</v>
      </c>
      <c r="F1" s="13">
        <v>0</v>
      </c>
      <c r="G1" s="14">
        <v>339237.92</v>
      </c>
    </row>
    <row r="2" spans="1:7" ht="33" customHeight="1">
      <c r="A2" s="15">
        <v>677283339298</v>
      </c>
      <c r="B2" s="16" t="s">
        <v>41</v>
      </c>
      <c r="C2" s="22">
        <v>46107</v>
      </c>
      <c r="D2" s="16" t="s">
        <v>12</v>
      </c>
      <c r="E2" s="6">
        <v>0</v>
      </c>
      <c r="F2" s="7">
        <v>49680</v>
      </c>
      <c r="G2" s="19">
        <v>388917.92</v>
      </c>
    </row>
    <row r="3" spans="1:7" ht="21.6" customHeight="1">
      <c r="A3" s="8">
        <v>210083339298</v>
      </c>
      <c r="B3" s="9" t="s">
        <v>13</v>
      </c>
      <c r="C3" s="23">
        <v>46107</v>
      </c>
      <c r="D3" s="9" t="s">
        <v>10</v>
      </c>
      <c r="E3" s="13">
        <v>-745.2</v>
      </c>
      <c r="F3" s="13">
        <v>0</v>
      </c>
      <c r="G3" s="14">
        <v>388172.72</v>
      </c>
    </row>
    <row r="4" spans="1:7" ht="33" customHeight="1">
      <c r="A4" s="15">
        <v>50958539538</v>
      </c>
      <c r="B4" s="16" t="s">
        <v>20</v>
      </c>
      <c r="C4" s="22">
        <v>46107</v>
      </c>
      <c r="D4" s="16" t="s">
        <v>12</v>
      </c>
      <c r="E4" s="6">
        <v>0</v>
      </c>
      <c r="F4" s="7">
        <v>23330</v>
      </c>
      <c r="G4" s="19">
        <v>411502.72</v>
      </c>
    </row>
    <row r="5" spans="1:7" ht="21.6" customHeight="1">
      <c r="A5" s="8">
        <v>27258539538</v>
      </c>
      <c r="B5" s="9" t="s">
        <v>15</v>
      </c>
      <c r="C5" s="23">
        <v>46107</v>
      </c>
      <c r="D5" s="9" t="s">
        <v>10</v>
      </c>
      <c r="E5" s="13">
        <v>-349.95</v>
      </c>
      <c r="F5" s="13">
        <v>0</v>
      </c>
      <c r="G5" s="14">
        <v>411152.77</v>
      </c>
    </row>
    <row r="6" spans="1:7" ht="33" customHeight="1">
      <c r="A6" s="15">
        <v>329269660418</v>
      </c>
      <c r="B6" s="16" t="s">
        <v>49</v>
      </c>
      <c r="C6" s="22">
        <v>46108</v>
      </c>
      <c r="D6" s="16" t="s">
        <v>10</v>
      </c>
      <c r="E6" s="7">
        <v>-16000</v>
      </c>
      <c r="F6" s="6">
        <v>0</v>
      </c>
      <c r="G6" s="19">
        <v>395152.77</v>
      </c>
    </row>
    <row r="7" spans="1:7" ht="21.6" customHeight="1">
      <c r="A7" s="8">
        <v>676269660418</v>
      </c>
      <c r="B7" s="9" t="s">
        <v>17</v>
      </c>
      <c r="C7" s="23">
        <v>46108</v>
      </c>
      <c r="D7" s="9" t="s">
        <v>10</v>
      </c>
      <c r="E7" s="13">
        <v>-40</v>
      </c>
      <c r="F7" s="13">
        <v>0</v>
      </c>
      <c r="G7" s="14">
        <v>395112.77</v>
      </c>
    </row>
    <row r="8" spans="1:7" ht="33" customHeight="1">
      <c r="A8" s="15">
        <v>329269819250</v>
      </c>
      <c r="B8" s="16" t="s">
        <v>50</v>
      </c>
      <c r="C8" s="22">
        <v>46108</v>
      </c>
      <c r="D8" s="16" t="s">
        <v>10</v>
      </c>
      <c r="E8" s="7">
        <v>-30000</v>
      </c>
      <c r="F8" s="6">
        <v>0</v>
      </c>
      <c r="G8" s="19">
        <v>365112.77</v>
      </c>
    </row>
    <row r="9" spans="1:7" ht="21.6" customHeight="1">
      <c r="A9" s="8">
        <v>676269819250</v>
      </c>
      <c r="B9" s="9" t="s">
        <v>17</v>
      </c>
      <c r="C9" s="23">
        <v>46108</v>
      </c>
      <c r="D9" s="9" t="s">
        <v>10</v>
      </c>
      <c r="E9" s="13">
        <v>-75</v>
      </c>
      <c r="F9" s="13">
        <v>0</v>
      </c>
      <c r="G9" s="14">
        <v>365037.77</v>
      </c>
    </row>
    <row r="10" spans="1:7" ht="33" customHeight="1">
      <c r="A10" s="15">
        <v>50954743742</v>
      </c>
      <c r="B10" s="16" t="s">
        <v>14</v>
      </c>
      <c r="C10" s="22">
        <v>46108</v>
      </c>
      <c r="D10" s="16" t="s">
        <v>12</v>
      </c>
      <c r="E10" s="6">
        <v>0</v>
      </c>
      <c r="F10" s="7">
        <v>46851</v>
      </c>
      <c r="G10" s="19">
        <v>411888.77</v>
      </c>
    </row>
    <row r="11" spans="1:7" ht="21.6" customHeight="1">
      <c r="A11" s="8">
        <v>27254743742</v>
      </c>
      <c r="B11" s="9" t="s">
        <v>15</v>
      </c>
      <c r="C11" s="23">
        <v>46108</v>
      </c>
      <c r="D11" s="9" t="s">
        <v>10</v>
      </c>
      <c r="E11" s="13">
        <v>-702.77</v>
      </c>
      <c r="F11" s="13">
        <v>0</v>
      </c>
      <c r="G11" s="14">
        <v>411186</v>
      </c>
    </row>
    <row r="12" spans="1:7" ht="33" customHeight="1">
      <c r="A12" s="15">
        <v>50961039334</v>
      </c>
      <c r="B12" s="16" t="s">
        <v>20</v>
      </c>
      <c r="C12" s="22">
        <v>46108</v>
      </c>
      <c r="D12" s="16" t="s">
        <v>12</v>
      </c>
      <c r="E12" s="6">
        <v>0</v>
      </c>
      <c r="F12" s="7">
        <v>28110</v>
      </c>
      <c r="G12" s="19">
        <v>439296</v>
      </c>
    </row>
    <row r="13" spans="1:7" ht="15.6" customHeight="1">
      <c r="A13" s="8">
        <v>27261039334</v>
      </c>
      <c r="B13" s="9" t="s">
        <v>15</v>
      </c>
      <c r="C13" s="23">
        <v>46108</v>
      </c>
      <c r="D13" s="9" t="s">
        <v>10</v>
      </c>
      <c r="E13" s="13">
        <v>-421.65</v>
      </c>
      <c r="F13" s="13">
        <v>0</v>
      </c>
      <c r="G13" s="14">
        <v>438874.35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21">
        <v>677285161257</v>
      </c>
      <c r="B15" s="16" t="s">
        <v>51</v>
      </c>
      <c r="C15" s="22">
        <v>46108</v>
      </c>
      <c r="D15" s="16" t="s">
        <v>12</v>
      </c>
      <c r="E15" s="6">
        <v>0</v>
      </c>
      <c r="F15" s="7">
        <v>46852</v>
      </c>
      <c r="G15" s="7">
        <v>485726.35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5" customWidth="1"/>
    <col min="3" max="3" width="14" customWidth="1"/>
    <col min="4" max="4" width="6.6640625" customWidth="1"/>
    <col min="5" max="5" width="14.1640625" customWidth="1"/>
    <col min="6" max="6" width="12.5" customWidth="1"/>
    <col min="7" max="7" width="13.5" customWidth="1"/>
  </cols>
  <sheetData>
    <row r="1" spans="1:7" ht="17.100000000000001" customHeight="1">
      <c r="A1" s="8">
        <v>210085161257</v>
      </c>
      <c r="B1" s="9" t="s">
        <v>13</v>
      </c>
      <c r="C1" s="23">
        <v>46108</v>
      </c>
      <c r="D1" s="9" t="s">
        <v>10</v>
      </c>
      <c r="E1" s="13">
        <v>-702.78</v>
      </c>
      <c r="F1" s="13">
        <v>0</v>
      </c>
      <c r="G1" s="14">
        <v>485023.57</v>
      </c>
    </row>
    <row r="2" spans="1:7" ht="33" customHeight="1">
      <c r="A2" s="15">
        <v>329272415106</v>
      </c>
      <c r="B2" s="16" t="s">
        <v>52</v>
      </c>
      <c r="C2" s="22">
        <v>46108</v>
      </c>
      <c r="D2" s="16" t="s">
        <v>10</v>
      </c>
      <c r="E2" s="7">
        <v>-35000</v>
      </c>
      <c r="F2" s="6">
        <v>0</v>
      </c>
      <c r="G2" s="19">
        <v>450023.57</v>
      </c>
    </row>
    <row r="3" spans="1:7" ht="21.6" customHeight="1">
      <c r="A3" s="8">
        <v>676272415106</v>
      </c>
      <c r="B3" s="9" t="s">
        <v>17</v>
      </c>
      <c r="C3" s="23">
        <v>46108</v>
      </c>
      <c r="D3" s="9" t="s">
        <v>10</v>
      </c>
      <c r="E3" s="13">
        <v>-87.5</v>
      </c>
      <c r="F3" s="13">
        <v>0</v>
      </c>
      <c r="G3" s="14">
        <v>449936.07</v>
      </c>
    </row>
    <row r="4" spans="1:7" ht="33" customHeight="1">
      <c r="A4" s="15">
        <v>677286143872</v>
      </c>
      <c r="B4" s="16" t="s">
        <v>53</v>
      </c>
      <c r="C4" s="22">
        <v>46109</v>
      </c>
      <c r="D4" s="16" t="s">
        <v>12</v>
      </c>
      <c r="E4" s="6">
        <v>0</v>
      </c>
      <c r="F4" s="7">
        <v>47170.04</v>
      </c>
      <c r="G4" s="19">
        <v>497106.11</v>
      </c>
    </row>
    <row r="5" spans="1:7" ht="21.6" customHeight="1">
      <c r="A5" s="8">
        <v>210086143872</v>
      </c>
      <c r="B5" s="9" t="s">
        <v>13</v>
      </c>
      <c r="C5" s="23">
        <v>46109</v>
      </c>
      <c r="D5" s="9" t="s">
        <v>10</v>
      </c>
      <c r="E5" s="13">
        <v>-707.55</v>
      </c>
      <c r="F5" s="13">
        <v>0</v>
      </c>
      <c r="G5" s="14">
        <v>496398.56</v>
      </c>
    </row>
    <row r="6" spans="1:7" ht="33" customHeight="1">
      <c r="A6" s="15">
        <v>677286575527</v>
      </c>
      <c r="B6" s="16" t="s">
        <v>54</v>
      </c>
      <c r="C6" s="22">
        <v>46109</v>
      </c>
      <c r="D6" s="16" t="s">
        <v>12</v>
      </c>
      <c r="E6" s="6">
        <v>0</v>
      </c>
      <c r="F6" s="7">
        <v>26790</v>
      </c>
      <c r="G6" s="19">
        <v>523188.56</v>
      </c>
    </row>
    <row r="7" spans="1:7" ht="21.6" customHeight="1">
      <c r="A7" s="8">
        <v>210086575527</v>
      </c>
      <c r="B7" s="9" t="s">
        <v>13</v>
      </c>
      <c r="C7" s="23">
        <v>46109</v>
      </c>
      <c r="D7" s="9" t="s">
        <v>10</v>
      </c>
      <c r="E7" s="13">
        <v>-401.85</v>
      </c>
      <c r="F7" s="13">
        <v>0</v>
      </c>
      <c r="G7" s="14">
        <v>522786.71</v>
      </c>
    </row>
    <row r="8" spans="1:7" ht="33" customHeight="1">
      <c r="A8" s="15">
        <v>329272454215</v>
      </c>
      <c r="B8" s="16" t="s">
        <v>55</v>
      </c>
      <c r="C8" s="22">
        <v>46109</v>
      </c>
      <c r="D8" s="16" t="s">
        <v>10</v>
      </c>
      <c r="E8" s="7">
        <v>-70000</v>
      </c>
      <c r="F8" s="6">
        <v>0</v>
      </c>
      <c r="G8" s="19">
        <v>452786.71</v>
      </c>
    </row>
    <row r="9" spans="1:7" ht="21.6" customHeight="1">
      <c r="A9" s="8">
        <v>676272454215</v>
      </c>
      <c r="B9" s="9" t="s">
        <v>17</v>
      </c>
      <c r="C9" s="23">
        <v>46109</v>
      </c>
      <c r="D9" s="9" t="s">
        <v>10</v>
      </c>
      <c r="E9" s="13">
        <v>-175</v>
      </c>
      <c r="F9" s="13">
        <v>0</v>
      </c>
      <c r="G9" s="14">
        <v>452611.71</v>
      </c>
    </row>
    <row r="10" spans="1:7" ht="33" customHeight="1">
      <c r="A10" s="15">
        <v>329272458888</v>
      </c>
      <c r="B10" s="16" t="s">
        <v>56</v>
      </c>
      <c r="C10" s="22">
        <v>46109</v>
      </c>
      <c r="D10" s="16" t="s">
        <v>10</v>
      </c>
      <c r="E10" s="7">
        <v>-40000</v>
      </c>
      <c r="F10" s="6">
        <v>0</v>
      </c>
      <c r="G10" s="19">
        <v>412611.71</v>
      </c>
    </row>
    <row r="11" spans="1:7" ht="21.6" customHeight="1">
      <c r="A11" s="8">
        <v>676272458888</v>
      </c>
      <c r="B11" s="9" t="s">
        <v>17</v>
      </c>
      <c r="C11" s="23">
        <v>46109</v>
      </c>
      <c r="D11" s="9" t="s">
        <v>10</v>
      </c>
      <c r="E11" s="13">
        <v>-100</v>
      </c>
      <c r="F11" s="13">
        <v>0</v>
      </c>
      <c r="G11" s="14">
        <v>412511.71</v>
      </c>
    </row>
    <row r="12" spans="1:7" ht="33" customHeight="1">
      <c r="A12" s="15">
        <v>50955234694</v>
      </c>
      <c r="B12" s="16" t="s">
        <v>14</v>
      </c>
      <c r="C12" s="22">
        <v>46110</v>
      </c>
      <c r="D12" s="16" t="s">
        <v>12</v>
      </c>
      <c r="E12" s="6">
        <v>0</v>
      </c>
      <c r="F12" s="7">
        <v>5000</v>
      </c>
      <c r="G12" s="19">
        <v>417511.71</v>
      </c>
    </row>
    <row r="13" spans="1:7" ht="15.6" customHeight="1">
      <c r="A13" s="8">
        <v>27255234694</v>
      </c>
      <c r="B13" s="9" t="s">
        <v>15</v>
      </c>
      <c r="C13" s="23">
        <v>46110</v>
      </c>
      <c r="D13" s="9" t="s">
        <v>10</v>
      </c>
      <c r="E13" s="13">
        <v>-75</v>
      </c>
      <c r="F13" s="13">
        <v>0</v>
      </c>
      <c r="G13" s="14">
        <v>417436.71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21">
        <v>677288913985</v>
      </c>
      <c r="B15" s="16" t="s">
        <v>51</v>
      </c>
      <c r="C15" s="22">
        <v>46110</v>
      </c>
      <c r="D15" s="16" t="s">
        <v>12</v>
      </c>
      <c r="E15" s="6">
        <v>0</v>
      </c>
      <c r="F15" s="7">
        <v>56222</v>
      </c>
      <c r="G15" s="7">
        <v>473658.71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5" customWidth="1"/>
    <col min="3" max="3" width="14" customWidth="1"/>
    <col min="4" max="4" width="6.6640625" customWidth="1"/>
    <col min="5" max="5" width="14.1640625" customWidth="1"/>
    <col min="6" max="6" width="12.5" customWidth="1"/>
    <col min="7" max="7" width="13.5" customWidth="1"/>
  </cols>
  <sheetData>
    <row r="1" spans="1:7" ht="17.100000000000001" customHeight="1">
      <c r="A1" s="8">
        <v>210088913985</v>
      </c>
      <c r="B1" s="9" t="s">
        <v>13</v>
      </c>
      <c r="C1" s="23">
        <v>46110</v>
      </c>
      <c r="D1" s="9" t="s">
        <v>10</v>
      </c>
      <c r="E1" s="13">
        <v>-843.33</v>
      </c>
      <c r="F1" s="13">
        <v>0</v>
      </c>
      <c r="G1" s="14">
        <v>472815.38</v>
      </c>
    </row>
    <row r="2" spans="1:7" ht="33" customHeight="1">
      <c r="A2" s="15">
        <v>677290165298</v>
      </c>
      <c r="B2" s="16" t="s">
        <v>53</v>
      </c>
      <c r="C2" s="22">
        <v>46111</v>
      </c>
      <c r="D2" s="16" t="s">
        <v>12</v>
      </c>
      <c r="E2" s="6">
        <v>0</v>
      </c>
      <c r="F2" s="7">
        <v>47170.04</v>
      </c>
      <c r="G2" s="19">
        <v>519985.42</v>
      </c>
    </row>
    <row r="3" spans="1:7" ht="21.6" customHeight="1">
      <c r="A3" s="8">
        <v>210090165298</v>
      </c>
      <c r="B3" s="9" t="s">
        <v>13</v>
      </c>
      <c r="C3" s="23">
        <v>46111</v>
      </c>
      <c r="D3" s="9" t="s">
        <v>10</v>
      </c>
      <c r="E3" s="13">
        <v>-707.55</v>
      </c>
      <c r="F3" s="13">
        <v>0</v>
      </c>
      <c r="G3" s="14">
        <v>519277.87</v>
      </c>
    </row>
    <row r="4" spans="1:7" ht="33" customHeight="1">
      <c r="A4" s="15">
        <v>50999432579</v>
      </c>
      <c r="B4" s="16" t="s">
        <v>20</v>
      </c>
      <c r="C4" s="22">
        <v>46111</v>
      </c>
      <c r="D4" s="16" t="s">
        <v>12</v>
      </c>
      <c r="E4" s="6">
        <v>0</v>
      </c>
      <c r="F4" s="7">
        <v>37736</v>
      </c>
      <c r="G4" s="19">
        <v>557013.87</v>
      </c>
    </row>
    <row r="5" spans="1:7" ht="21.6" customHeight="1">
      <c r="A5" s="8">
        <v>27299432579</v>
      </c>
      <c r="B5" s="9" t="s">
        <v>15</v>
      </c>
      <c r="C5" s="23">
        <v>46111</v>
      </c>
      <c r="D5" s="9" t="s">
        <v>10</v>
      </c>
      <c r="E5" s="13">
        <v>-566.04</v>
      </c>
      <c r="F5" s="13">
        <v>0</v>
      </c>
      <c r="G5" s="14">
        <v>556447.82999999996</v>
      </c>
    </row>
    <row r="6" spans="1:7" ht="33" customHeight="1">
      <c r="A6" s="15">
        <v>50990017046</v>
      </c>
      <c r="B6" s="16" t="s">
        <v>20</v>
      </c>
      <c r="C6" s="22">
        <v>46111</v>
      </c>
      <c r="D6" s="16" t="s">
        <v>12</v>
      </c>
      <c r="E6" s="6">
        <v>0</v>
      </c>
      <c r="F6" s="7">
        <v>15566</v>
      </c>
      <c r="G6" s="19">
        <v>572013.82999999996</v>
      </c>
    </row>
    <row r="7" spans="1:7" ht="21.6" customHeight="1">
      <c r="A7" s="8">
        <v>27290017046</v>
      </c>
      <c r="B7" s="9" t="s">
        <v>15</v>
      </c>
      <c r="C7" s="23">
        <v>46111</v>
      </c>
      <c r="D7" s="9" t="s">
        <v>10</v>
      </c>
      <c r="E7" s="13">
        <v>-233.49</v>
      </c>
      <c r="F7" s="13">
        <v>0</v>
      </c>
      <c r="G7" s="14">
        <v>571780.34</v>
      </c>
    </row>
    <row r="8" spans="1:7" ht="33" customHeight="1">
      <c r="A8" s="15">
        <v>50955564856</v>
      </c>
      <c r="B8" s="16" t="s">
        <v>14</v>
      </c>
      <c r="C8" s="22">
        <v>46111</v>
      </c>
      <c r="D8" s="16" t="s">
        <v>12</v>
      </c>
      <c r="E8" s="6">
        <v>0</v>
      </c>
      <c r="F8" s="7">
        <v>25472</v>
      </c>
      <c r="G8" s="19">
        <v>597252.34</v>
      </c>
    </row>
    <row r="9" spans="1:7" ht="21.6" customHeight="1">
      <c r="A9" s="8">
        <v>27255564856</v>
      </c>
      <c r="B9" s="9" t="s">
        <v>15</v>
      </c>
      <c r="C9" s="23">
        <v>46111</v>
      </c>
      <c r="D9" s="9" t="s">
        <v>10</v>
      </c>
      <c r="E9" s="13">
        <v>-382.08</v>
      </c>
      <c r="F9" s="13">
        <v>0</v>
      </c>
      <c r="G9" s="14">
        <v>596870.26</v>
      </c>
    </row>
    <row r="10" spans="1:7" ht="33" customHeight="1">
      <c r="A10" s="15">
        <v>329272758911</v>
      </c>
      <c r="B10" s="16" t="s">
        <v>57</v>
      </c>
      <c r="C10" s="22">
        <v>46111</v>
      </c>
      <c r="D10" s="16" t="s">
        <v>10</v>
      </c>
      <c r="E10" s="7">
        <v>-20000</v>
      </c>
      <c r="F10" s="6">
        <v>0</v>
      </c>
      <c r="G10" s="19">
        <v>576870.26</v>
      </c>
    </row>
    <row r="11" spans="1:7" ht="21.6" customHeight="1">
      <c r="A11" s="8">
        <v>676272758911</v>
      </c>
      <c r="B11" s="9" t="s">
        <v>17</v>
      </c>
      <c r="C11" s="23">
        <v>46111</v>
      </c>
      <c r="D11" s="9" t="s">
        <v>10</v>
      </c>
      <c r="E11" s="13">
        <v>-50</v>
      </c>
      <c r="F11" s="13">
        <v>0</v>
      </c>
      <c r="G11" s="14">
        <v>576820.26</v>
      </c>
    </row>
    <row r="12" spans="1:7" ht="33" customHeight="1">
      <c r="A12" s="15">
        <v>677291034161</v>
      </c>
      <c r="B12" s="16" t="s">
        <v>51</v>
      </c>
      <c r="C12" s="22">
        <v>46111</v>
      </c>
      <c r="D12" s="16" t="s">
        <v>12</v>
      </c>
      <c r="E12" s="6">
        <v>0</v>
      </c>
      <c r="F12" s="7">
        <v>18869</v>
      </c>
      <c r="G12" s="19">
        <v>595689.26</v>
      </c>
    </row>
    <row r="13" spans="1:7" ht="15.6" customHeight="1">
      <c r="A13" s="8">
        <v>210091034161</v>
      </c>
      <c r="B13" s="9" t="s">
        <v>13</v>
      </c>
      <c r="C13" s="23">
        <v>46111</v>
      </c>
      <c r="D13" s="9" t="s">
        <v>10</v>
      </c>
      <c r="E13" s="13">
        <v>-283.02999999999997</v>
      </c>
      <c r="F13" s="13">
        <v>0</v>
      </c>
      <c r="G13" s="14">
        <v>595406.23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21">
        <v>329272808015</v>
      </c>
      <c r="B15" s="16" t="s">
        <v>58</v>
      </c>
      <c r="C15" s="22">
        <v>46111</v>
      </c>
      <c r="D15" s="16" t="s">
        <v>10</v>
      </c>
      <c r="E15" s="7">
        <v>-70000</v>
      </c>
      <c r="F15" s="6">
        <v>0</v>
      </c>
      <c r="G15" s="7">
        <v>525406.23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3"/>
  <sheetViews>
    <sheetView topLeftCell="A2" workbookViewId="0">
      <selection activeCell="A2" sqref="A2:G12"/>
    </sheetView>
  </sheetViews>
  <sheetFormatPr baseColWidth="10" defaultColWidth="9.33203125" defaultRowHeight="12.75"/>
  <cols>
    <col min="1" max="1" width="18.83203125" customWidth="1"/>
    <col min="2" max="2" width="55.5" customWidth="1"/>
    <col min="3" max="3" width="14" customWidth="1"/>
    <col min="4" max="4" width="6.6640625" customWidth="1"/>
    <col min="5" max="5" width="14.1640625" customWidth="1"/>
    <col min="6" max="6" width="12.5" customWidth="1"/>
    <col min="7" max="7" width="13.5" customWidth="1"/>
  </cols>
  <sheetData>
    <row r="1" spans="1:7" ht="225.95" customHeight="1"/>
    <row r="2" spans="1:7" ht="17.100000000000001" customHeight="1">
      <c r="A2" s="8">
        <v>676272808015</v>
      </c>
      <c r="B2" s="9" t="s">
        <v>17</v>
      </c>
      <c r="C2" s="23">
        <v>46111</v>
      </c>
      <c r="D2" s="9" t="s">
        <v>10</v>
      </c>
      <c r="E2" s="13">
        <v>-175</v>
      </c>
      <c r="F2" s="13">
        <v>0</v>
      </c>
      <c r="G2" s="14">
        <v>525231.23</v>
      </c>
    </row>
    <row r="3" spans="1:7" ht="33" customHeight="1">
      <c r="A3" s="15">
        <v>329272809048</v>
      </c>
      <c r="B3" s="16" t="s">
        <v>59</v>
      </c>
      <c r="C3" s="22">
        <v>46111</v>
      </c>
      <c r="D3" s="16" t="s">
        <v>10</v>
      </c>
      <c r="E3" s="7">
        <v>-30000</v>
      </c>
      <c r="F3" s="6">
        <v>0</v>
      </c>
      <c r="G3" s="19">
        <v>495231.23</v>
      </c>
    </row>
    <row r="4" spans="1:7" ht="21.6" customHeight="1">
      <c r="A4" s="8">
        <v>676272809048</v>
      </c>
      <c r="B4" s="9" t="s">
        <v>17</v>
      </c>
      <c r="C4" s="23">
        <v>46111</v>
      </c>
      <c r="D4" s="9" t="s">
        <v>10</v>
      </c>
      <c r="E4" s="13">
        <v>-75</v>
      </c>
      <c r="F4" s="13">
        <v>0</v>
      </c>
      <c r="G4" s="14">
        <v>495156.23</v>
      </c>
    </row>
    <row r="5" spans="1:7" ht="33" customHeight="1">
      <c r="A5" s="15">
        <v>50920464987</v>
      </c>
      <c r="B5" s="16" t="s">
        <v>22</v>
      </c>
      <c r="C5" s="22">
        <v>46112</v>
      </c>
      <c r="D5" s="16" t="s">
        <v>12</v>
      </c>
      <c r="E5" s="6">
        <v>0</v>
      </c>
      <c r="F5" s="7">
        <v>23693.51</v>
      </c>
      <c r="G5" s="19">
        <v>518849.74</v>
      </c>
    </row>
    <row r="6" spans="1:7" ht="21.6" customHeight="1">
      <c r="A6" s="8">
        <v>27220464987</v>
      </c>
      <c r="B6" s="9" t="s">
        <v>15</v>
      </c>
      <c r="C6" s="23">
        <v>46112</v>
      </c>
      <c r="D6" s="9" t="s">
        <v>10</v>
      </c>
      <c r="E6" s="13">
        <v>-355.4</v>
      </c>
      <c r="F6" s="13">
        <v>0</v>
      </c>
      <c r="G6" s="14">
        <v>518494.34</v>
      </c>
    </row>
    <row r="7" spans="1:7" ht="33" customHeight="1">
      <c r="A7" s="15">
        <v>329273445825</v>
      </c>
      <c r="B7" s="16" t="s">
        <v>60</v>
      </c>
      <c r="C7" s="22">
        <v>46112</v>
      </c>
      <c r="D7" s="16" t="s">
        <v>10</v>
      </c>
      <c r="E7" s="7">
        <v>-12000</v>
      </c>
      <c r="F7" s="6">
        <v>0</v>
      </c>
      <c r="G7" s="19">
        <v>506494.34</v>
      </c>
    </row>
    <row r="8" spans="1:7" ht="21.6" customHeight="1">
      <c r="A8" s="8">
        <v>676273445825</v>
      </c>
      <c r="B8" s="9" t="s">
        <v>17</v>
      </c>
      <c r="C8" s="23">
        <v>46112</v>
      </c>
      <c r="D8" s="9" t="s">
        <v>10</v>
      </c>
      <c r="E8" s="13">
        <v>-30</v>
      </c>
      <c r="F8" s="13">
        <v>0</v>
      </c>
      <c r="G8" s="14">
        <v>506464.34</v>
      </c>
    </row>
    <row r="9" spans="1:7" ht="33" customHeight="1">
      <c r="A9" s="15">
        <v>677293633513</v>
      </c>
      <c r="B9" s="16" t="s">
        <v>53</v>
      </c>
      <c r="C9" s="22">
        <v>46112</v>
      </c>
      <c r="D9" s="16" t="s">
        <v>12</v>
      </c>
      <c r="E9" s="6">
        <v>0</v>
      </c>
      <c r="F9" s="7">
        <v>47387.02</v>
      </c>
      <c r="G9" s="19">
        <v>553851.36</v>
      </c>
    </row>
    <row r="10" spans="1:7" ht="21.6" customHeight="1">
      <c r="A10" s="8">
        <v>210093633513</v>
      </c>
      <c r="B10" s="9" t="s">
        <v>13</v>
      </c>
      <c r="C10" s="23">
        <v>46112</v>
      </c>
      <c r="D10" s="9" t="s">
        <v>10</v>
      </c>
      <c r="E10" s="13">
        <v>-710.81</v>
      </c>
      <c r="F10" s="13">
        <v>0</v>
      </c>
      <c r="G10" s="14">
        <v>553140.55000000005</v>
      </c>
    </row>
    <row r="11" spans="1:7" ht="33" customHeight="1">
      <c r="A11" s="15">
        <v>50904687277</v>
      </c>
      <c r="B11" s="16" t="s">
        <v>20</v>
      </c>
      <c r="C11" s="22">
        <v>46112</v>
      </c>
      <c r="D11" s="16" t="s">
        <v>12</v>
      </c>
      <c r="E11" s="6">
        <v>0</v>
      </c>
      <c r="F11" s="7">
        <v>37909.599999999999</v>
      </c>
      <c r="G11" s="19">
        <v>591050.15</v>
      </c>
    </row>
    <row r="12" spans="1:7" ht="15.6" customHeight="1">
      <c r="A12" s="8">
        <v>27204687277</v>
      </c>
      <c r="B12" s="9" t="s">
        <v>15</v>
      </c>
      <c r="C12" s="23">
        <v>46112</v>
      </c>
      <c r="D12" s="9" t="s">
        <v>10</v>
      </c>
      <c r="E12" s="13">
        <v>-568.64</v>
      </c>
      <c r="F12" s="13">
        <v>0</v>
      </c>
      <c r="G12" s="14">
        <v>590481.51</v>
      </c>
    </row>
    <row r="13" spans="1:7" ht="36.950000000000003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Data-Central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Rodriguez</dc:creator>
  <cp:lastModifiedBy>Carlos Rodriguez Colmenares</cp:lastModifiedBy>
  <dcterms:created xsi:type="dcterms:W3CDTF">2026-05-06T14:06:21Z</dcterms:created>
  <dcterms:modified xsi:type="dcterms:W3CDTF">2026-05-21T13:04:56Z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2026-04-17T00:00:00Z</vt:filetime>
  </property>
  <property fmtid="{D5CDD505-2E9C-101B-9397-08002B2CF9AE}" pid="4" name="Producer">
    <vt:lpwstr>jsPDF 2.5.1</vt:lpwstr>
  </property>
  <property fmtid="{D5CDD505-2E9C-101B-9397-08002B2CF9AE}" pid="5" name="LastSaved">
    <vt:filetime>2026-04-17T00:00:00Z</vt:filetime>
  </property>
</Properties>
</file>