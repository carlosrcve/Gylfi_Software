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"/>
    </mc:Choice>
  </mc:AlternateContent>
  <xr:revisionPtr revIDLastSave="0" documentId="13_ncr:1_{C7E092BB-CDFB-4F8A-A82E-8E06D12907CF}" xr6:coauthVersionLast="47" xr6:coauthVersionMax="47" xr10:uidLastSave="{00000000-0000-0000-0000-000000000000}"/>
  <bookViews>
    <workbookView xWindow="-120" yWindow="-120" windowWidth="20730" windowHeight="11160" xr2:uid="{1F6B6F1C-B22F-4E13-9079-C7EFFA514711}"/>
  </bookViews>
  <sheets>
    <sheet name="Mayo" sheetId="2" r:id="rId1"/>
  </sheets>
  <definedNames>
    <definedName name="_xlnm._FilterDatabase" localSheetId="0" hidden="1">Mayo!$A$1:$I$551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51" i="2" l="1"/>
  <c r="H407" i="2"/>
  <c r="I406" i="2"/>
  <c r="H388" i="2"/>
  <c r="I386" i="2"/>
  <c r="H378" i="2"/>
  <c r="I377" i="2"/>
  <c r="H372" i="2"/>
  <c r="I368" i="2"/>
  <c r="I369" i="2"/>
  <c r="H357" i="2"/>
  <c r="I356" i="2"/>
  <c r="I345" i="2"/>
  <c r="I342" i="2"/>
  <c r="I332" i="2"/>
  <c r="I337" i="2"/>
  <c r="I315" i="2"/>
  <c r="I312" i="2"/>
  <c r="I309" i="2"/>
  <c r="I306" i="2"/>
  <c r="I303" i="2"/>
  <c r="I300" i="2"/>
  <c r="I297" i="2"/>
  <c r="I294" i="2"/>
  <c r="I291" i="2"/>
  <c r="I282" i="2" l="1"/>
  <c r="H257" i="2"/>
  <c r="I194" i="2"/>
  <c r="I193" i="2"/>
  <c r="I101" i="2"/>
  <c r="I100" i="2"/>
  <c r="I27" i="2"/>
  <c r="I26" i="2"/>
  <c r="I158" i="2"/>
  <c r="I263" i="2" l="1"/>
</calcChain>
</file>

<file path=xl/sharedStrings.xml><?xml version="1.0" encoding="utf-8"?>
<sst xmlns="http://schemas.openxmlformats.org/spreadsheetml/2006/main" count="1866" uniqueCount="151">
  <si>
    <t>id</t>
  </si>
  <si>
    <t>N_comprobante</t>
  </si>
  <si>
    <t>Descripcion</t>
  </si>
  <si>
    <t>Fecha</t>
  </si>
  <si>
    <t>plan_de_cuentas</t>
  </si>
  <si>
    <t>cuenta_contable</t>
  </si>
  <si>
    <t>Ref</t>
  </si>
  <si>
    <t>Debe</t>
  </si>
  <si>
    <t>Haber</t>
  </si>
  <si>
    <t>1.1.1.02.001</t>
  </si>
  <si>
    <t>Banco de Venezuela</t>
  </si>
  <si>
    <t>PAGOMOVIL OTROS BANCOS 0105 04243252293</t>
  </si>
  <si>
    <t>PAGOMOVIL OTROS BANCOS 0134 04142254712</t>
  </si>
  <si>
    <t>PAGOMOVIL OTROS BANCOS 0191 04141500569</t>
  </si>
  <si>
    <t>COBRO COMISION PAG MOVIL BDV A</t>
  </si>
  <si>
    <t>COMISION PAGOMOVILBDV</t>
  </si>
  <si>
    <t>COMISION PAGO A PROVEEDORES</t>
  </si>
  <si>
    <t>PAGOMOVIL BDV V028023800 FRANCISCO MADRIZ</t>
  </si>
  <si>
    <t>PAGOMOVIL BDV V022764031 JONATHAN APONTE</t>
  </si>
  <si>
    <t>PAGOMOVIL OTROS BANCOS 0108 04241020722</t>
  </si>
  <si>
    <t>PAGOMOVIL OTROS BANCOS 0134 04120301787</t>
  </si>
  <si>
    <t>4.1.1.01.001</t>
  </si>
  <si>
    <t>Ingresos Exento I.V.A</t>
  </si>
  <si>
    <t>1.1.2.01.001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</si>
  <si>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</si>
  <si>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</si>
  <si>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</si>
  <si>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</si>
  <si>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</si>
  <si>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</si>
  <si>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</si>
  <si>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</si>
  <si>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Cuentas por Cobrar Choferes Hernan Predañes</t>
  </si>
  <si>
    <t>Cuentas por Cobrar Choferes Jose Bravo</t>
  </si>
  <si>
    <t>Cuentas por Cobrar Choferes Jonathan Paredes</t>
  </si>
  <si>
    <t>Cuentas por Cobrar Choferes Francisco Madriz</t>
  </si>
  <si>
    <t>Cuentas por Cobrar Choferes Eduardo dos santos</t>
  </si>
  <si>
    <t>7.1.1.01.001</t>
  </si>
  <si>
    <t>Otros Ingresos</t>
  </si>
  <si>
    <t>COM MANTENIMIENTO DE CUENTA</t>
  </si>
  <si>
    <t>PAGO A PROVEEDORES BDV 014744149  LOTE 00441302</t>
  </si>
  <si>
    <t>PAGO A OTROS BANCOS 0134 V12419427</t>
  </si>
  <si>
    <t>COM PAGO OTR BCOS JUR NAT</t>
  </si>
  <si>
    <t>PAGO A OTROS BANCOS 0134 V20116183</t>
  </si>
  <si>
    <t>PAGO A PROVEEDORES BDV 014744149 LOTE 00443784</t>
  </si>
  <si>
    <t>PAGO A PROVEEDORES BDV 022770786 LOTE 00443961</t>
  </si>
  <si>
    <t>PAGO A PROVEEDORES BDV 014744149 LOTE 00444067</t>
  </si>
  <si>
    <t>PAGO A PROVEEDORES BDV 023807573 LOTE 00444652</t>
  </si>
  <si>
    <t>PAGO A PROVEEDORES BDV 017425187 LOTE 00444767</t>
  </si>
  <si>
    <t>PAGO A OTROS BANCOS 0134 V32554156</t>
  </si>
  <si>
    <t>PAGO A OTROS BANCOS 0134 J622884</t>
  </si>
  <si>
    <t>COM PAGO OTR BCOS JUR JUR</t>
  </si>
  <si>
    <t>PAGO A PROVEEDORES BDV 014744149 LOTE 00446147</t>
  </si>
  <si>
    <t>PAGO A PROVEEDORES BDV 023807573 LOTE 00447626</t>
  </si>
  <si>
    <t>PAGO A OTROS BANCOS 0134 J500732023</t>
  </si>
  <si>
    <t>PAGO A OTROS BANCOS 0134 J2702079</t>
  </si>
  <si>
    <t>PAGO A PROVEEDORES BDV 023807573 LOTE 00448581</t>
  </si>
  <si>
    <t>PAGO A PROVEEDORES BDV 017425187 LOTE 00448584</t>
  </si>
  <si>
    <t>PAGO A PROVEEDORES BDV 021622306 LOTE 00448593</t>
  </si>
  <si>
    <t>PAGO A OTROS BANCOS 0105 V4167234</t>
  </si>
  <si>
    <t>PAGO IMPUESTOS INTERNET</t>
  </si>
  <si>
    <t>PAGO A PROVEEDORES BDV 022770786 LOTE 00449589</t>
  </si>
  <si>
    <t>PAGO A OTROS BANCOS 0134 V9935208</t>
  </si>
  <si>
    <t>PAGO A PROVEEDORES BDV 023807573 LOTE 00451193</t>
  </si>
  <si>
    <t>PAGO A OTROS BANCOS 0191 V22290778</t>
  </si>
  <si>
    <t>PAGO A OTROS BANCOS 0134 V25795112</t>
  </si>
  <si>
    <t>PAGO A PROVEEDORES BDV 014744149 LOTE 00452429</t>
  </si>
  <si>
    <t>PAGO A OTROS BANCOS 0115 V14989945</t>
  </si>
  <si>
    <t>6.1.1.03.013</t>
  </si>
  <si>
    <t>Comisiones Bancarias</t>
  </si>
  <si>
    <t>5.1.1.01.001</t>
  </si>
  <si>
    <t>Costos de Reparaciones de vehiculos</t>
  </si>
  <si>
    <t>2.1.1.01.001</t>
  </si>
  <si>
    <t>Proveedores Nacionales</t>
  </si>
  <si>
    <t>COMISIONES BANCARIAS MAYO 2026</t>
  </si>
  <si>
    <t>COM</t>
  </si>
  <si>
    <t>F0009</t>
  </si>
  <si>
    <t>1.1.2.01.005</t>
  </si>
  <si>
    <t>CUENTA POR COBRAR FACT 0005 MES DE MAYO 2026</t>
  </si>
  <si>
    <t>INGRESOS EXENTO DE IVA FACT 0005 MES DE MAYO 2026</t>
  </si>
  <si>
    <t>COBRAN BCO VZLA KING DRIVER FACT 0005</t>
  </si>
  <si>
    <t>COBRAN BCO VZLA KING DRIVER FACT 0008</t>
  </si>
  <si>
    <t>CUENTA POR COBRAR FACT 0001 MES DE MAYO 2026</t>
  </si>
  <si>
    <t>CUENTA POR COBRAR FACT 0002 MES DE MAYO 2026</t>
  </si>
  <si>
    <t>INGRESOS EXENTO DE IVA FACT 0001 MES DE MAYO 2026</t>
  </si>
  <si>
    <t>INGRESOS EXENTO DE IVA FACT 0002 MES DE MAYO 2026</t>
  </si>
  <si>
    <t>1.1.5.01.001</t>
  </si>
  <si>
    <t>Cuenta por Cobrar Accionista Jean Marco</t>
  </si>
  <si>
    <t>COBRAN BCO VZLA KING DRIVER FACT 0001</t>
  </si>
  <si>
    <t>COBRAN BCO VZLA KING DRIVER FACT 0002</t>
  </si>
  <si>
    <t>COBRAN BCO VZLA KING DRIVER FACT 0003</t>
  </si>
  <si>
    <t>COBRAN BCO VZLA KING DRIVER FACT 0004</t>
  </si>
  <si>
    <t>INGRESOS CTA PERSONAL ACCIONISTA J. MARCO</t>
  </si>
  <si>
    <t>INGRESOS EXENTO DE IVA FACT 0003 MES DE MAYO 2026</t>
  </si>
  <si>
    <t>INGRESOS EXENTO DE IVA FACT 0004 MES DE MAYO 2026</t>
  </si>
  <si>
    <t>CUENTA POR COBRAR FACT 0003 MES DE MAYO 2026</t>
  </si>
  <si>
    <t>CUENTA POR COBRAR FACT 0004 MES DE MAYO 2026</t>
  </si>
  <si>
    <t>CUENTA POR COBRAR FACT 0006 MES DE MAYO 2026</t>
  </si>
  <si>
    <t>CUENTA POR COBRAR FACT 0007 MES DE MAYO 2026</t>
  </si>
  <si>
    <t>INGRESOS EXENTO DE IVA FACT 0006 MES DE MAYO 2026</t>
  </si>
  <si>
    <t>INGRESOS EXENTO DE IVA FACT 0007 MES DE MAYO 2026</t>
  </si>
  <si>
    <t>ERRRO COBRO DE COMISION BANCARIA F0006</t>
  </si>
  <si>
    <t>ERRRO COBRO DE COMISION BANCARIA F0007</t>
  </si>
  <si>
    <t>ERRRO COBRO DE COMISION BANCARIA F007</t>
  </si>
  <si>
    <r>
      <rPr>
        <sz val="8"/>
        <rFont val="Arial"/>
        <family val="2"/>
      </rPr>
      <t>PAGOMOVIL OTROS BANCOS 0191 04141500569</t>
    </r>
  </si>
  <si>
    <r>
      <rPr>
        <sz val="8"/>
        <rFont val="Arial"/>
        <family val="2"/>
      </rPr>
      <t>PAGOMOVIL OTROS BANCOS 0191</t>
    </r>
  </si>
  <si>
    <t>CUENTA POR COBRAR FACT 0008 MES DE MAYO 2026</t>
  </si>
  <si>
    <t>CUENTA POR COBRAR FACT 0008 MES DE MAYO 2027</t>
  </si>
  <si>
    <t>CUENTA POR COBRAR FACT 0008 MES DE MAYO 2028</t>
  </si>
  <si>
    <t>CUENTA POR COBRAR FACT 0008 MES DE MAYO 2029</t>
  </si>
  <si>
    <t>CUENTA POR COBRAR FACT 0008 MES DE MAYO 2030</t>
  </si>
  <si>
    <t>CUENTA POR COBRAR FACT 0008 MES DE MAYO 2031</t>
  </si>
  <si>
    <t>CUENTA POR COBRAR FACT 0008 MES DE MAYO 2032</t>
  </si>
  <si>
    <t>CUENTA POR COBRAR FACT 0008 MES DE MAYO 2033</t>
  </si>
  <si>
    <t>CUENTA POR COBRAR FACT 0008 MES DE MAYO 2034</t>
  </si>
  <si>
    <t>CUENTA POR COBRAR FACT 0008 MES DE MAYO 2035</t>
  </si>
  <si>
    <t>CUENTA POR COBRAR FACT 0008 MES DE MAYO 2036</t>
  </si>
  <si>
    <t>CUENTA POR COBRAR FACT 0008 MES DE MAYO 2037</t>
  </si>
  <si>
    <t>INGRESOS EXENTO DE IVA FACT 0008 MES DE MAYO 2026</t>
  </si>
  <si>
    <t>2.1.3.01.001</t>
  </si>
  <si>
    <t>Credito Cashea</t>
  </si>
  <si>
    <t>5.1.1.01.002</t>
  </si>
  <si>
    <t>Iva Credito Fiscal (Ingresos Exentos)</t>
  </si>
  <si>
    <t>MULTIREPUESTOS CHINA PARTS 1668, C.A</t>
  </si>
  <si>
    <t>DE TODO RESPUESTO AUTOMOTRIZ, C.A.</t>
  </si>
  <si>
    <t>AGRORUEDAS CHAKAO, C.A.</t>
  </si>
  <si>
    <r>
      <rPr>
        <sz val="8"/>
        <rFont val="Arial"/>
        <family val="2"/>
      </rPr>
      <t>PAGO A PROVEEDORES BDV 014744149 LOTE 00442540</t>
    </r>
  </si>
  <si>
    <r>
      <rPr>
        <sz val="8"/>
        <rFont val="Arial"/>
        <family val="2"/>
      </rPr>
      <t>PAGO A PROVEEDORES BDV 014744149 LOTE 00451764</t>
    </r>
  </si>
  <si>
    <t>JORGE E. GONZALES SILVA</t>
  </si>
  <si>
    <t>2.1.1.01.002</t>
  </si>
  <si>
    <t>REIKO IMPORT, C.A.</t>
  </si>
  <si>
    <t>MULTISERVICIOS C.J.P.J.D 2025, C.A.</t>
  </si>
  <si>
    <t>GABRIAN JOELRODRIGUEZ SALCEDO</t>
  </si>
  <si>
    <t>ACEITES BREADY MARTINEZ PARA JUNIO</t>
  </si>
  <si>
    <t>1.1.6.01.001</t>
  </si>
  <si>
    <t>Anticipo Proveedores</t>
  </si>
  <si>
    <t>TECNICA DE EMBRAGUES DOBLE INTOCABLES 2010, C.A.</t>
  </si>
  <si>
    <t>CAUCHO STADIUM</t>
  </si>
  <si>
    <t>REPUESTOS YOGERES 06, C.A.</t>
  </si>
  <si>
    <t>ARTILIT IMPRENTA FISCAL TALONARIOS FACURA KING DRIVER</t>
  </si>
  <si>
    <t>1.1.5.01.002</t>
  </si>
  <si>
    <t>Cuenta por Cobrar Accionista Sandra Arroyo</t>
  </si>
  <si>
    <t>PAGO ACCIONISTA SANDRA ARROYO MAYO 2026</t>
  </si>
  <si>
    <t>6.1.1.03.020</t>
  </si>
  <si>
    <t>D.Proteccion Patronal (DPP)</t>
  </si>
  <si>
    <t>PAGO DPP ABRIL 2026</t>
  </si>
  <si>
    <r>
      <rPr>
        <sz val="8"/>
        <rFont val="Arial"/>
        <family val="2"/>
      </rPr>
      <t>PAGOMOVIL BDV V028023800 FRANCISCO MADRIZ</t>
    </r>
  </si>
  <si>
    <r>
      <rPr>
        <sz val="8"/>
        <rFont val="Arial"/>
        <family val="2"/>
      </rPr>
      <t>PAGOMOVIL BDV V022764031 JONATHAN APONTE</t>
    </r>
  </si>
  <si>
    <r>
      <rPr>
        <sz val="8"/>
        <color rgb="FF505050"/>
        <rFont val="Arial"/>
        <family val="2"/>
      </rPr>
      <t>PAGOMOVIL OTROS BANCOS 0105 04243252293</t>
    </r>
  </si>
  <si>
    <r>
      <rPr>
        <sz val="8"/>
        <color rgb="FF505050"/>
        <rFont val="Arial"/>
        <family val="2"/>
      </rPr>
      <t>PAGOMOVIL OTROS BANCOS 0191 04141500569</t>
    </r>
  </si>
  <si>
    <r>
      <rPr>
        <sz val="8"/>
        <color rgb="FF505050"/>
        <rFont val="Arial"/>
        <family val="2"/>
      </rPr>
      <t>PAGOMOVIL OTROS BANCOS 0108 04241020722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</si>
</sst>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000000"/>
    <numFmt numFmtId="165" formatCode="yyyy\-mm\-dd"/>
    <numFmt numFmtId="166" formatCode="0000000000000"/>
    <numFmt numFmtId="167" formatCode="00000000"/>
    <numFmt numFmtId="168" formatCode="000000"/>
    <numFmt numFmtId="169" formatCode="dd/mm/yyyy;@"/>
    <numFmt numFmtId="170" formatCode="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 MT"/>
    </font>
    <font>
      <sz val="8"/>
      <name val="Calibri"/>
      <family val="2"/>
      <scheme val="minor"/>
    </font>
    <font>
      <sz val="8"/>
      <color rgb="FF50505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0" xfId="0" applyFont="1" applyFill="1" applyAlignment="1">
      <alignment vertical="center" wrapText="1"/>
    </xf>
    <xf numFmtId="43" fontId="2" fillId="2" borderId="0" xfId="1" applyFont="1" applyFill="1"/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166" fontId="2" fillId="2" borderId="0" xfId="0" applyNumberFormat="1" applyFont="1" applyFill="1" applyAlignment="1">
      <alignment horizontal="center" vertical="top" shrinkToFit="1"/>
    </xf>
    <xf numFmtId="166" fontId="2" fillId="2" borderId="0" xfId="0" applyNumberFormat="1" applyFont="1" applyFill="1" applyAlignment="1">
      <alignment horizontal="left" vertical="top" shrinkToFit="1"/>
    </xf>
    <xf numFmtId="43" fontId="2" fillId="2" borderId="0" xfId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 vertical="top" wrapText="1"/>
    </xf>
    <xf numFmtId="169" fontId="2" fillId="2" borderId="0" xfId="0" applyNumberFormat="1" applyFont="1" applyFill="1" applyAlignment="1">
      <alignment horizontal="center" vertical="top" shrinkToFit="1"/>
    </xf>
    <xf numFmtId="43" fontId="2" fillId="2" borderId="0" xfId="1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top" wrapText="1"/>
    </xf>
    <xf numFmtId="166" fontId="2" fillId="2" borderId="0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7" fontId="2" fillId="2" borderId="0" xfId="0" applyNumberFormat="1" applyFont="1" applyFill="1" applyBorder="1" applyAlignment="1">
      <alignment horizontal="right"/>
    </xf>
    <xf numFmtId="168" fontId="2" fillId="2" borderId="0" xfId="0" applyNumberFormat="1" applyFont="1" applyFill="1" applyBorder="1" applyAlignment="1">
      <alignment horizontal="right"/>
    </xf>
    <xf numFmtId="164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vertical="center"/>
    </xf>
    <xf numFmtId="167" fontId="2" fillId="2" borderId="0" xfId="0" applyNumberFormat="1" applyFont="1" applyFill="1" applyBorder="1" applyAlignment="1">
      <alignment vertical="center"/>
    </xf>
    <xf numFmtId="170" fontId="2" fillId="2" borderId="0" xfId="0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vertical="center"/>
    </xf>
    <xf numFmtId="168" fontId="2" fillId="2" borderId="0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1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/>
    <xf numFmtId="43" fontId="6" fillId="2" borderId="0" xfId="1" applyFont="1" applyFill="1"/>
    <xf numFmtId="0" fontId="6" fillId="2" borderId="0" xfId="0" applyFont="1" applyFill="1" applyBorder="1"/>
    <xf numFmtId="43" fontId="6" fillId="2" borderId="0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BDE7-FC9D-4588-A8E9-3AF895CC5E04}">
  <dimension ref="A1:K551"/>
  <sheetViews>
    <sheetView tabSelected="1" workbookViewId="0">
      <selection sqref="A1:XFD1"/>
    </sheetView>
  </sheetViews>
  <sheetFormatPr baseColWidth="10" defaultRowHeight="9.9499999999999993" customHeight="1"/>
  <cols>
    <col min="1" max="1" width="4.42578125" style="30" bestFit="1" customWidth="1"/>
    <col min="2" max="2" width="11.42578125" style="31"/>
    <col min="3" max="3" width="50.7109375" style="31" customWidth="1"/>
    <col min="4" max="5" width="11.42578125" style="31"/>
    <col min="6" max="6" width="36.28515625" style="31" bestFit="1" customWidth="1"/>
    <col min="7" max="7" width="12.140625" style="32" bestFit="1" customWidth="1"/>
    <col min="8" max="8" width="13.5703125" style="31" bestFit="1" customWidth="1"/>
    <col min="9" max="9" width="13.5703125" style="35" bestFit="1" customWidth="1"/>
    <col min="10" max="10" width="13.28515625" style="31" bestFit="1" customWidth="1"/>
    <col min="11" max="11" width="12.5703125" style="31" bestFit="1" customWidth="1"/>
    <col min="12" max="16384" width="11.42578125" style="31"/>
  </cols>
  <sheetData>
    <row r="1" spans="1:9" s="4" customFormat="1" ht="9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21" t="s">
        <v>8</v>
      </c>
    </row>
    <row r="2" spans="1:9" s="4" customFormat="1" ht="9.75" customHeight="1">
      <c r="A2" s="4">
        <v>2182</v>
      </c>
      <c r="B2" s="10">
        <v>500001</v>
      </c>
      <c r="C2" s="1" t="s">
        <v>82</v>
      </c>
      <c r="D2" s="3">
        <v>46173</v>
      </c>
      <c r="E2" s="4" t="s">
        <v>23</v>
      </c>
      <c r="F2" s="5" t="s">
        <v>32</v>
      </c>
      <c r="G2" s="33" t="s">
        <v>24</v>
      </c>
      <c r="H2" s="2">
        <v>24450</v>
      </c>
      <c r="I2" s="2">
        <v>0</v>
      </c>
    </row>
    <row r="3" spans="1:9" s="4" customFormat="1" ht="9.75" customHeight="1">
      <c r="A3" s="4">
        <v>2183</v>
      </c>
      <c r="B3" s="10">
        <v>500001</v>
      </c>
      <c r="C3" s="1" t="s">
        <v>82</v>
      </c>
      <c r="D3" s="3">
        <v>46173</v>
      </c>
      <c r="E3" s="4" t="s">
        <v>23</v>
      </c>
      <c r="F3" s="5" t="s">
        <v>32</v>
      </c>
      <c r="G3" s="33" t="s">
        <v>24</v>
      </c>
      <c r="H3" s="2">
        <v>20071</v>
      </c>
      <c r="I3" s="2">
        <v>0</v>
      </c>
    </row>
    <row r="4" spans="1:9" s="4" customFormat="1" ht="9.75" customHeight="1">
      <c r="A4" s="4">
        <v>2184</v>
      </c>
      <c r="B4" s="10">
        <v>500001</v>
      </c>
      <c r="C4" s="1" t="s">
        <v>82</v>
      </c>
      <c r="D4" s="3">
        <v>46173</v>
      </c>
      <c r="E4" s="4" t="s">
        <v>23</v>
      </c>
      <c r="F4" s="5" t="s">
        <v>32</v>
      </c>
      <c r="G4" s="33" t="s">
        <v>24</v>
      </c>
      <c r="H4" s="2">
        <v>14685</v>
      </c>
      <c r="I4" s="2">
        <v>0</v>
      </c>
    </row>
    <row r="5" spans="1:9" s="4" customFormat="1" ht="9.75" customHeight="1">
      <c r="A5" s="4">
        <v>2185</v>
      </c>
      <c r="B5" s="10">
        <v>500001</v>
      </c>
      <c r="C5" s="1" t="s">
        <v>82</v>
      </c>
      <c r="D5" s="3">
        <v>46173</v>
      </c>
      <c r="E5" s="4" t="s">
        <v>23</v>
      </c>
      <c r="F5" s="5" t="s">
        <v>32</v>
      </c>
      <c r="G5" s="33" t="s">
        <v>24</v>
      </c>
      <c r="H5" s="2">
        <v>24475</v>
      </c>
      <c r="I5" s="2">
        <v>0</v>
      </c>
    </row>
    <row r="6" spans="1:9" s="4" customFormat="1" ht="9.75" customHeight="1">
      <c r="A6" s="4">
        <v>2186</v>
      </c>
      <c r="B6" s="10">
        <v>500001</v>
      </c>
      <c r="C6" s="1" t="s">
        <v>82</v>
      </c>
      <c r="D6" s="3">
        <v>46173</v>
      </c>
      <c r="E6" s="4" t="s">
        <v>23</v>
      </c>
      <c r="F6" s="5" t="s">
        <v>32</v>
      </c>
      <c r="G6" s="33" t="s">
        <v>24</v>
      </c>
      <c r="H6" s="2">
        <v>14700</v>
      </c>
      <c r="I6" s="2">
        <v>0</v>
      </c>
    </row>
    <row r="7" spans="1:9" s="4" customFormat="1" ht="9.75" customHeight="1">
      <c r="A7" s="4">
        <v>2187</v>
      </c>
      <c r="B7" s="10">
        <v>500001</v>
      </c>
      <c r="C7" s="1" t="s">
        <v>82</v>
      </c>
      <c r="D7" s="3">
        <v>46173</v>
      </c>
      <c r="E7" s="4" t="s">
        <v>23</v>
      </c>
      <c r="F7" s="5" t="s">
        <v>32</v>
      </c>
      <c r="G7" s="33" t="s">
        <v>24</v>
      </c>
      <c r="H7" s="2">
        <v>24500</v>
      </c>
      <c r="I7" s="2">
        <v>0</v>
      </c>
    </row>
    <row r="8" spans="1:9" s="4" customFormat="1" ht="9.75" customHeight="1">
      <c r="A8" s="4">
        <v>2188</v>
      </c>
      <c r="B8" s="10">
        <v>500001</v>
      </c>
      <c r="C8" s="1" t="s">
        <v>82</v>
      </c>
      <c r="D8" s="3">
        <v>46173</v>
      </c>
      <c r="E8" s="4" t="s">
        <v>23</v>
      </c>
      <c r="F8" s="5" t="s">
        <v>32</v>
      </c>
      <c r="G8" s="33" t="s">
        <v>24</v>
      </c>
      <c r="H8" s="2">
        <v>9870</v>
      </c>
      <c r="I8" s="2">
        <v>0</v>
      </c>
    </row>
    <row r="9" spans="1:9" s="4" customFormat="1" ht="9.75" customHeight="1">
      <c r="A9" s="4">
        <v>2189</v>
      </c>
      <c r="B9" s="10">
        <v>500001</v>
      </c>
      <c r="C9" s="1" t="s">
        <v>82</v>
      </c>
      <c r="D9" s="3">
        <v>46173</v>
      </c>
      <c r="E9" s="4" t="s">
        <v>23</v>
      </c>
      <c r="F9" s="5" t="s">
        <v>32</v>
      </c>
      <c r="G9" s="33" t="s">
        <v>24</v>
      </c>
      <c r="H9" s="2">
        <v>24840</v>
      </c>
      <c r="I9" s="2">
        <v>0</v>
      </c>
    </row>
    <row r="10" spans="1:9" s="4" customFormat="1" ht="9.75" customHeight="1">
      <c r="A10" s="4">
        <v>2190</v>
      </c>
      <c r="B10" s="10">
        <v>500001</v>
      </c>
      <c r="C10" s="1" t="s">
        <v>82</v>
      </c>
      <c r="D10" s="3">
        <v>46173</v>
      </c>
      <c r="E10" s="4" t="s">
        <v>23</v>
      </c>
      <c r="F10" s="5" t="s">
        <v>32</v>
      </c>
      <c r="G10" s="33" t="s">
        <v>24</v>
      </c>
      <c r="H10" s="2">
        <v>35000</v>
      </c>
      <c r="I10" s="2">
        <v>0</v>
      </c>
    </row>
    <row r="11" spans="1:9" s="4" customFormat="1" ht="9.75" customHeight="1">
      <c r="A11" s="4">
        <v>2191</v>
      </c>
      <c r="B11" s="10">
        <v>500001</v>
      </c>
      <c r="C11" s="1" t="s">
        <v>82</v>
      </c>
      <c r="D11" s="3">
        <v>46173</v>
      </c>
      <c r="E11" s="4" t="s">
        <v>23</v>
      </c>
      <c r="F11" s="5" t="s">
        <v>32</v>
      </c>
      <c r="G11" s="33" t="s">
        <v>24</v>
      </c>
      <c r="H11" s="2">
        <v>17600</v>
      </c>
      <c r="I11" s="2">
        <v>0</v>
      </c>
    </row>
    <row r="12" spans="1:9" s="4" customFormat="1" ht="9.75" customHeight="1">
      <c r="A12" s="4">
        <v>2192</v>
      </c>
      <c r="B12" s="10">
        <v>500001</v>
      </c>
      <c r="C12" s="1" t="s">
        <v>82</v>
      </c>
      <c r="D12" s="3">
        <v>46173</v>
      </c>
      <c r="E12" s="4" t="s">
        <v>23</v>
      </c>
      <c r="F12" s="5" t="s">
        <v>32</v>
      </c>
      <c r="G12" s="33" t="s">
        <v>24</v>
      </c>
      <c r="H12" s="2">
        <v>15540</v>
      </c>
      <c r="I12" s="2">
        <v>0</v>
      </c>
    </row>
    <row r="13" spans="1:9" s="4" customFormat="1" ht="9.75" customHeight="1">
      <c r="A13" s="4">
        <v>2193</v>
      </c>
      <c r="B13" s="10">
        <v>500001</v>
      </c>
      <c r="C13" s="1" t="s">
        <v>82</v>
      </c>
      <c r="D13" s="3">
        <v>46173</v>
      </c>
      <c r="E13" s="4" t="s">
        <v>23</v>
      </c>
      <c r="F13" s="5" t="s">
        <v>32</v>
      </c>
      <c r="G13" s="33" t="s">
        <v>24</v>
      </c>
      <c r="H13" s="2">
        <v>51800</v>
      </c>
      <c r="I13" s="2">
        <v>0</v>
      </c>
    </row>
    <row r="14" spans="1:9" s="4" customFormat="1" ht="9.75" customHeight="1">
      <c r="A14" s="4">
        <v>2194</v>
      </c>
      <c r="B14" s="10">
        <v>500001</v>
      </c>
      <c r="C14" s="1" t="s">
        <v>82</v>
      </c>
      <c r="D14" s="3">
        <v>46173</v>
      </c>
      <c r="E14" s="4" t="s">
        <v>23</v>
      </c>
      <c r="F14" s="5" t="s">
        <v>32</v>
      </c>
      <c r="G14" s="33" t="s">
        <v>24</v>
      </c>
      <c r="H14" s="2">
        <v>31830</v>
      </c>
      <c r="I14" s="2">
        <v>0</v>
      </c>
    </row>
    <row r="15" spans="1:9" s="4" customFormat="1" ht="9.75" customHeight="1">
      <c r="A15" s="4">
        <v>2195</v>
      </c>
      <c r="B15" s="10">
        <v>500001</v>
      </c>
      <c r="C15" s="1" t="s">
        <v>82</v>
      </c>
      <c r="D15" s="3">
        <v>46173</v>
      </c>
      <c r="E15" s="4" t="s">
        <v>23</v>
      </c>
      <c r="F15" s="5" t="s">
        <v>32</v>
      </c>
      <c r="G15" s="33" t="s">
        <v>24</v>
      </c>
      <c r="H15" s="2">
        <v>26530</v>
      </c>
      <c r="I15" s="2">
        <v>0</v>
      </c>
    </row>
    <row r="16" spans="1:9" s="4" customFormat="1" ht="9.75" customHeight="1">
      <c r="A16" s="4">
        <v>2196</v>
      </c>
      <c r="B16" s="10">
        <v>500001</v>
      </c>
      <c r="C16" s="1" t="s">
        <v>83</v>
      </c>
      <c r="D16" s="3">
        <v>46173</v>
      </c>
      <c r="E16" s="4" t="s">
        <v>23</v>
      </c>
      <c r="F16" s="5" t="s">
        <v>32</v>
      </c>
      <c r="G16" s="33" t="s">
        <v>25</v>
      </c>
      <c r="H16" s="2">
        <v>68000</v>
      </c>
      <c r="I16" s="2">
        <v>0</v>
      </c>
    </row>
    <row r="17" spans="1:9" s="4" customFormat="1" ht="9.75" customHeight="1">
      <c r="A17" s="4">
        <v>2197</v>
      </c>
      <c r="B17" s="10">
        <v>500001</v>
      </c>
      <c r="C17" s="1" t="s">
        <v>83</v>
      </c>
      <c r="D17" s="3">
        <v>46173</v>
      </c>
      <c r="E17" s="4" t="s">
        <v>23</v>
      </c>
      <c r="F17" s="5" t="s">
        <v>32</v>
      </c>
      <c r="G17" s="33" t="s">
        <v>25</v>
      </c>
      <c r="H17" s="2">
        <v>16061</v>
      </c>
      <c r="I17" s="2">
        <v>0</v>
      </c>
    </row>
    <row r="18" spans="1:9" s="4" customFormat="1" ht="9.75" customHeight="1">
      <c r="A18" s="4">
        <v>2198</v>
      </c>
      <c r="B18" s="10">
        <v>500001</v>
      </c>
      <c r="C18" s="6" t="s">
        <v>83</v>
      </c>
      <c r="D18" s="3">
        <v>46173</v>
      </c>
      <c r="E18" s="4" t="s">
        <v>23</v>
      </c>
      <c r="F18" s="5" t="s">
        <v>32</v>
      </c>
      <c r="G18" s="33" t="s">
        <v>25</v>
      </c>
      <c r="H18" s="2">
        <v>10881</v>
      </c>
      <c r="I18" s="2">
        <v>0</v>
      </c>
    </row>
    <row r="19" spans="1:9" s="4" customFormat="1" ht="9.75" customHeight="1">
      <c r="A19" s="4">
        <v>2199</v>
      </c>
      <c r="B19" s="10">
        <v>500001</v>
      </c>
      <c r="C19" s="6" t="s">
        <v>83</v>
      </c>
      <c r="D19" s="3">
        <v>46173</v>
      </c>
      <c r="E19" s="4" t="s">
        <v>23</v>
      </c>
      <c r="F19" s="5" t="s">
        <v>32</v>
      </c>
      <c r="G19" s="33" t="s">
        <v>25</v>
      </c>
      <c r="H19" s="2">
        <v>16482</v>
      </c>
      <c r="I19" s="2">
        <v>0</v>
      </c>
    </row>
    <row r="20" spans="1:9" s="4" customFormat="1" ht="9.75" customHeight="1">
      <c r="A20" s="4">
        <v>2200</v>
      </c>
      <c r="B20" s="10">
        <v>500001</v>
      </c>
      <c r="C20" s="6" t="s">
        <v>83</v>
      </c>
      <c r="D20" s="3">
        <v>46173</v>
      </c>
      <c r="E20" s="4" t="s">
        <v>23</v>
      </c>
      <c r="F20" s="5" t="s">
        <v>32</v>
      </c>
      <c r="G20" s="33" t="s">
        <v>25</v>
      </c>
      <c r="H20" s="2">
        <v>22000</v>
      </c>
      <c r="I20" s="2">
        <v>0</v>
      </c>
    </row>
    <row r="21" spans="1:9" s="4" customFormat="1" ht="9.75" customHeight="1">
      <c r="A21" s="4">
        <v>2201</v>
      </c>
      <c r="B21" s="10">
        <v>500001</v>
      </c>
      <c r="C21" s="6" t="s">
        <v>83</v>
      </c>
      <c r="D21" s="3">
        <v>46173</v>
      </c>
      <c r="E21" s="4" t="s">
        <v>23</v>
      </c>
      <c r="F21" s="5" t="s">
        <v>32</v>
      </c>
      <c r="G21" s="33" t="s">
        <v>25</v>
      </c>
      <c r="H21" s="2">
        <v>11000</v>
      </c>
      <c r="I21" s="2">
        <v>0</v>
      </c>
    </row>
    <row r="22" spans="1:9" s="4" customFormat="1" ht="9.75" customHeight="1">
      <c r="A22" s="4">
        <v>2202</v>
      </c>
      <c r="B22" s="10">
        <v>500001</v>
      </c>
      <c r="C22" s="6" t="s">
        <v>83</v>
      </c>
      <c r="D22" s="3">
        <v>46173</v>
      </c>
      <c r="E22" s="4" t="s">
        <v>23</v>
      </c>
      <c r="F22" s="5" t="s">
        <v>32</v>
      </c>
      <c r="G22" s="33" t="s">
        <v>25</v>
      </c>
      <c r="H22" s="2">
        <v>110000</v>
      </c>
      <c r="I22" s="2">
        <v>0</v>
      </c>
    </row>
    <row r="23" spans="1:9" s="4" customFormat="1" ht="9.75" customHeight="1">
      <c r="A23" s="4">
        <v>2203</v>
      </c>
      <c r="B23" s="10">
        <v>500001</v>
      </c>
      <c r="C23" s="6" t="s">
        <v>83</v>
      </c>
      <c r="D23" s="3">
        <v>46173</v>
      </c>
      <c r="E23" s="4" t="s">
        <v>23</v>
      </c>
      <c r="F23" s="5" t="s">
        <v>32</v>
      </c>
      <c r="G23" s="33" t="s">
        <v>25</v>
      </c>
      <c r="H23" s="2">
        <v>11100</v>
      </c>
      <c r="I23" s="2">
        <v>0</v>
      </c>
    </row>
    <row r="24" spans="1:9" s="4" customFormat="1" ht="9.75" customHeight="1">
      <c r="A24" s="4">
        <v>2204</v>
      </c>
      <c r="B24" s="10">
        <v>500001</v>
      </c>
      <c r="C24" s="6" t="s">
        <v>83</v>
      </c>
      <c r="D24" s="3">
        <v>46173</v>
      </c>
      <c r="E24" s="4" t="s">
        <v>23</v>
      </c>
      <c r="F24" s="5" t="s">
        <v>32</v>
      </c>
      <c r="G24" s="33" t="s">
        <v>25</v>
      </c>
      <c r="H24" s="2">
        <v>22200</v>
      </c>
      <c r="I24" s="2">
        <v>0</v>
      </c>
    </row>
    <row r="25" spans="1:9" s="4" customFormat="1" ht="9.75" customHeight="1">
      <c r="A25" s="4">
        <v>2205</v>
      </c>
      <c r="B25" s="10">
        <v>500001</v>
      </c>
      <c r="C25" s="6" t="s">
        <v>83</v>
      </c>
      <c r="D25" s="3">
        <v>46173</v>
      </c>
      <c r="E25" s="4" t="s">
        <v>23</v>
      </c>
      <c r="F25" s="5" t="s">
        <v>32</v>
      </c>
      <c r="G25" s="33" t="s">
        <v>25</v>
      </c>
      <c r="H25" s="2">
        <v>11100</v>
      </c>
      <c r="I25" s="2">
        <v>0</v>
      </c>
    </row>
    <row r="26" spans="1:9" s="4" customFormat="1" ht="9.75" customHeight="1">
      <c r="A26" s="4">
        <v>2206</v>
      </c>
      <c r="B26" s="10">
        <v>500001</v>
      </c>
      <c r="C26" s="6" t="s">
        <v>84</v>
      </c>
      <c r="D26" s="3">
        <v>46173</v>
      </c>
      <c r="E26" s="4" t="s">
        <v>21</v>
      </c>
      <c r="F26" s="5" t="s">
        <v>22</v>
      </c>
      <c r="G26" s="33" t="s">
        <v>24</v>
      </c>
      <c r="H26" s="2">
        <v>0</v>
      </c>
      <c r="I26" s="2">
        <f>SUM(H2:H15)</f>
        <v>335891</v>
      </c>
    </row>
    <row r="27" spans="1:9" s="4" customFormat="1" ht="9.75" customHeight="1">
      <c r="A27" s="4">
        <v>2207</v>
      </c>
      <c r="B27" s="10">
        <v>500001</v>
      </c>
      <c r="C27" s="6" t="s">
        <v>85</v>
      </c>
      <c r="D27" s="3">
        <v>46173</v>
      </c>
      <c r="E27" s="4" t="s">
        <v>21</v>
      </c>
      <c r="F27" s="5" t="s">
        <v>22</v>
      </c>
      <c r="G27" s="33" t="s">
        <v>25</v>
      </c>
      <c r="H27" s="2">
        <v>0</v>
      </c>
      <c r="I27" s="2">
        <f>SUM(H16:H25)</f>
        <v>298824</v>
      </c>
    </row>
    <row r="28" spans="1:9" s="4" customFormat="1" ht="9.75" customHeight="1">
      <c r="A28" s="4">
        <v>2208</v>
      </c>
      <c r="B28" s="10">
        <v>500001</v>
      </c>
      <c r="C28" s="6" t="s">
        <v>11</v>
      </c>
      <c r="D28" s="3">
        <v>46143</v>
      </c>
      <c r="E28" s="4" t="s">
        <v>9</v>
      </c>
      <c r="F28" s="5" t="s">
        <v>10</v>
      </c>
      <c r="G28" s="7">
        <v>50955193916</v>
      </c>
      <c r="H28" s="2">
        <v>24450</v>
      </c>
      <c r="I28" s="2">
        <v>0</v>
      </c>
    </row>
    <row r="29" spans="1:9" s="4" customFormat="1" ht="9.75" customHeight="1">
      <c r="A29" s="4">
        <v>2209</v>
      </c>
      <c r="B29" s="10">
        <v>500001</v>
      </c>
      <c r="C29" s="6" t="s">
        <v>11</v>
      </c>
      <c r="D29" s="3">
        <v>46145</v>
      </c>
      <c r="E29" s="4" t="s">
        <v>9</v>
      </c>
      <c r="F29" s="5" t="s">
        <v>10</v>
      </c>
      <c r="G29" s="7">
        <v>50955997092</v>
      </c>
      <c r="H29" s="2">
        <v>20071</v>
      </c>
      <c r="I29" s="2">
        <v>0</v>
      </c>
    </row>
    <row r="30" spans="1:9" s="4" customFormat="1" ht="9.75" customHeight="1">
      <c r="A30" s="4">
        <v>2210</v>
      </c>
      <c r="B30" s="10">
        <v>500001</v>
      </c>
      <c r="C30" s="6" t="s">
        <v>11</v>
      </c>
      <c r="D30" s="3">
        <v>46146</v>
      </c>
      <c r="E30" s="4" t="s">
        <v>9</v>
      </c>
      <c r="F30" s="5" t="s">
        <v>10</v>
      </c>
      <c r="G30" s="7">
        <v>50956107651</v>
      </c>
      <c r="H30" s="2">
        <v>14685</v>
      </c>
      <c r="I30" s="2">
        <v>0</v>
      </c>
    </row>
    <row r="31" spans="1:9" s="4" customFormat="1" ht="9.75" customHeight="1">
      <c r="A31" s="4">
        <v>2211</v>
      </c>
      <c r="B31" s="10">
        <v>500001</v>
      </c>
      <c r="C31" s="6" t="s">
        <v>11</v>
      </c>
      <c r="D31" s="3">
        <v>46147</v>
      </c>
      <c r="E31" s="4" t="s">
        <v>9</v>
      </c>
      <c r="F31" s="5" t="s">
        <v>10</v>
      </c>
      <c r="G31" s="7">
        <v>50956484165</v>
      </c>
      <c r="H31" s="2">
        <v>14700</v>
      </c>
      <c r="I31" s="2">
        <v>0</v>
      </c>
    </row>
    <row r="32" spans="1:9" s="4" customFormat="1" ht="9.75" customHeight="1">
      <c r="A32" s="4">
        <v>2212</v>
      </c>
      <c r="B32" s="10">
        <v>500001</v>
      </c>
      <c r="C32" s="6" t="s">
        <v>11</v>
      </c>
      <c r="D32" s="3">
        <v>46147</v>
      </c>
      <c r="E32" s="4" t="s">
        <v>9</v>
      </c>
      <c r="F32" s="5" t="s">
        <v>10</v>
      </c>
      <c r="G32" s="7">
        <v>50956595750</v>
      </c>
      <c r="H32" s="2">
        <v>24500</v>
      </c>
      <c r="I32" s="2">
        <v>0</v>
      </c>
    </row>
    <row r="33" spans="1:9" s="4" customFormat="1" ht="9.75" customHeight="1">
      <c r="A33" s="4">
        <v>2213</v>
      </c>
      <c r="B33" s="10">
        <v>500001</v>
      </c>
      <c r="C33" s="6" t="s">
        <v>11</v>
      </c>
      <c r="D33" s="3">
        <v>46148</v>
      </c>
      <c r="E33" s="4" t="s">
        <v>9</v>
      </c>
      <c r="F33" s="5" t="s">
        <v>10</v>
      </c>
      <c r="G33" s="7">
        <v>50956993258</v>
      </c>
      <c r="H33" s="2">
        <v>9870</v>
      </c>
      <c r="I33" s="2">
        <v>0</v>
      </c>
    </row>
    <row r="34" spans="1:9" s="4" customFormat="1" ht="9.75" customHeight="1">
      <c r="A34" s="4">
        <v>2214</v>
      </c>
      <c r="B34" s="10">
        <v>500001</v>
      </c>
      <c r="C34" s="6" t="s">
        <v>11</v>
      </c>
      <c r="D34" s="3">
        <v>46149</v>
      </c>
      <c r="E34" s="4" t="s">
        <v>9</v>
      </c>
      <c r="F34" s="5" t="s">
        <v>10</v>
      </c>
      <c r="G34" s="7">
        <v>50957232893</v>
      </c>
      <c r="H34" s="2">
        <v>24840</v>
      </c>
      <c r="I34" s="2">
        <v>0</v>
      </c>
    </row>
    <row r="35" spans="1:9" s="4" customFormat="1" ht="9.75" customHeight="1">
      <c r="A35" s="4">
        <v>2215</v>
      </c>
      <c r="B35" s="10">
        <v>500001</v>
      </c>
      <c r="C35" s="6" t="s">
        <v>11</v>
      </c>
      <c r="D35" s="3">
        <v>46150</v>
      </c>
      <c r="E35" s="4" t="s">
        <v>9</v>
      </c>
      <c r="F35" s="5" t="s">
        <v>10</v>
      </c>
      <c r="G35" s="7">
        <v>50957614259</v>
      </c>
      <c r="H35" s="2">
        <v>35000</v>
      </c>
      <c r="I35" s="2">
        <v>0</v>
      </c>
    </row>
    <row r="36" spans="1:9" s="4" customFormat="1" ht="9.75" customHeight="1">
      <c r="A36" s="4">
        <v>2216</v>
      </c>
      <c r="B36" s="10">
        <v>500001</v>
      </c>
      <c r="C36" s="6" t="s">
        <v>11</v>
      </c>
      <c r="D36" s="3">
        <v>46159</v>
      </c>
      <c r="E36" s="4" t="s">
        <v>9</v>
      </c>
      <c r="F36" s="5" t="s">
        <v>10</v>
      </c>
      <c r="G36" s="7">
        <v>50950729961</v>
      </c>
      <c r="H36" s="2">
        <v>15540</v>
      </c>
      <c r="I36" s="2">
        <v>0</v>
      </c>
    </row>
    <row r="37" spans="1:9" s="4" customFormat="1" ht="9.75" customHeight="1">
      <c r="A37" s="4">
        <v>2217</v>
      </c>
      <c r="B37" s="10">
        <v>500001</v>
      </c>
      <c r="C37" s="6" t="s">
        <v>11</v>
      </c>
      <c r="D37" s="3">
        <v>46160</v>
      </c>
      <c r="E37" s="4" t="s">
        <v>9</v>
      </c>
      <c r="F37" s="5" t="s">
        <v>10</v>
      </c>
      <c r="G37" s="8">
        <v>50951140287</v>
      </c>
      <c r="H37" s="2">
        <v>51800</v>
      </c>
      <c r="I37" s="2">
        <v>0</v>
      </c>
    </row>
    <row r="38" spans="1:9" s="4" customFormat="1" ht="9.75" customHeight="1">
      <c r="A38" s="4">
        <v>2218</v>
      </c>
      <c r="B38" s="10">
        <v>500001</v>
      </c>
      <c r="C38" s="6" t="s">
        <v>11</v>
      </c>
      <c r="D38" s="3">
        <v>46165</v>
      </c>
      <c r="E38" s="4" t="s">
        <v>9</v>
      </c>
      <c r="F38" s="5" t="s">
        <v>10</v>
      </c>
      <c r="G38" s="7">
        <v>50952536596</v>
      </c>
      <c r="H38" s="2">
        <v>31830</v>
      </c>
      <c r="I38" s="2">
        <v>0</v>
      </c>
    </row>
    <row r="39" spans="1:9" s="4" customFormat="1" ht="9.75" customHeight="1">
      <c r="A39" s="4">
        <v>2219</v>
      </c>
      <c r="B39" s="10">
        <v>500001</v>
      </c>
      <c r="C39" s="6" t="s">
        <v>11</v>
      </c>
      <c r="D39" s="3">
        <v>46166</v>
      </c>
      <c r="E39" s="4" t="s">
        <v>9</v>
      </c>
      <c r="F39" s="5" t="s">
        <v>10</v>
      </c>
      <c r="G39" s="7">
        <v>50953038637</v>
      </c>
      <c r="H39" s="2">
        <v>26530</v>
      </c>
      <c r="I39" s="2">
        <v>0</v>
      </c>
    </row>
    <row r="40" spans="1:9" s="4" customFormat="1" ht="9.75" customHeight="1">
      <c r="A40" s="4">
        <v>2220</v>
      </c>
      <c r="B40" s="10">
        <v>500001</v>
      </c>
      <c r="C40" s="6" t="s">
        <v>11</v>
      </c>
      <c r="D40" s="3">
        <v>46167</v>
      </c>
      <c r="E40" s="4" t="s">
        <v>9</v>
      </c>
      <c r="F40" s="5" t="s">
        <v>10</v>
      </c>
      <c r="G40" s="7">
        <v>50953305767</v>
      </c>
      <c r="H40" s="2">
        <v>68000</v>
      </c>
      <c r="I40" s="2">
        <v>0</v>
      </c>
    </row>
    <row r="41" spans="1:9" s="4" customFormat="1" ht="9.75" customHeight="1">
      <c r="A41" s="4">
        <v>2221</v>
      </c>
      <c r="B41" s="10">
        <v>500001</v>
      </c>
      <c r="C41" s="6" t="s">
        <v>11</v>
      </c>
      <c r="D41" s="3">
        <v>46168</v>
      </c>
      <c r="E41" s="4" t="s">
        <v>9</v>
      </c>
      <c r="F41" s="5" t="s">
        <v>10</v>
      </c>
      <c r="G41" s="7">
        <v>50953488760</v>
      </c>
      <c r="H41" s="2">
        <v>16061</v>
      </c>
      <c r="I41" s="2">
        <v>0</v>
      </c>
    </row>
    <row r="42" spans="1:9" s="4" customFormat="1" ht="9.75" customHeight="1">
      <c r="A42" s="4">
        <v>2222</v>
      </c>
      <c r="B42" s="10">
        <v>500001</v>
      </c>
      <c r="C42" s="6" t="s">
        <v>11</v>
      </c>
      <c r="D42" s="3">
        <v>46171</v>
      </c>
      <c r="E42" s="4" t="s">
        <v>9</v>
      </c>
      <c r="F42" s="5" t="s">
        <v>10</v>
      </c>
      <c r="G42" s="7">
        <v>50954424361</v>
      </c>
      <c r="H42" s="2">
        <v>16482</v>
      </c>
      <c r="I42" s="2">
        <v>0</v>
      </c>
    </row>
    <row r="43" spans="1:9" s="4" customFormat="1" ht="9.75" customHeight="1">
      <c r="A43" s="4">
        <v>2223</v>
      </c>
      <c r="B43" s="10">
        <v>500001</v>
      </c>
      <c r="C43" s="6" t="s">
        <v>19</v>
      </c>
      <c r="D43" s="3">
        <v>46171</v>
      </c>
      <c r="E43" s="4" t="s">
        <v>9</v>
      </c>
      <c r="F43" s="5" t="s">
        <v>10</v>
      </c>
      <c r="G43" s="7">
        <v>50958027877</v>
      </c>
      <c r="H43" s="2">
        <v>11000</v>
      </c>
      <c r="I43" s="2">
        <v>0</v>
      </c>
    </row>
    <row r="44" spans="1:9" s="4" customFormat="1" ht="9.75" customHeight="1">
      <c r="A44" s="4">
        <v>2224</v>
      </c>
      <c r="B44" s="10">
        <v>500001</v>
      </c>
      <c r="C44" s="6" t="s">
        <v>20</v>
      </c>
      <c r="D44" s="3">
        <v>46172</v>
      </c>
      <c r="E44" s="4" t="s">
        <v>9</v>
      </c>
      <c r="F44" s="5" t="s">
        <v>10</v>
      </c>
      <c r="G44" s="7">
        <v>50902055148</v>
      </c>
      <c r="H44" s="2">
        <v>110000</v>
      </c>
      <c r="I44" s="2">
        <v>0</v>
      </c>
    </row>
    <row r="45" spans="1:9" s="4" customFormat="1" ht="9.75" customHeight="1">
      <c r="A45" s="4">
        <v>2225</v>
      </c>
      <c r="B45" s="10">
        <v>500001</v>
      </c>
      <c r="C45" s="6" t="s">
        <v>19</v>
      </c>
      <c r="D45" s="3">
        <v>46172</v>
      </c>
      <c r="E45" s="4" t="s">
        <v>9</v>
      </c>
      <c r="F45" s="5" t="s">
        <v>10</v>
      </c>
      <c r="G45" s="7">
        <v>50959027892</v>
      </c>
      <c r="H45" s="2">
        <v>11100</v>
      </c>
      <c r="I45" s="2">
        <v>0</v>
      </c>
    </row>
    <row r="46" spans="1:9" s="4" customFormat="1" ht="9.75" customHeight="1">
      <c r="A46" s="4">
        <v>2226</v>
      </c>
      <c r="B46" s="10">
        <v>500001</v>
      </c>
      <c r="C46" s="6" t="s">
        <v>19</v>
      </c>
      <c r="D46" s="3">
        <v>46173</v>
      </c>
      <c r="E46" s="4" t="s">
        <v>9</v>
      </c>
      <c r="F46" s="5" t="s">
        <v>10</v>
      </c>
      <c r="G46" s="7">
        <v>50957027908</v>
      </c>
      <c r="H46" s="2">
        <v>22200</v>
      </c>
      <c r="I46" s="2">
        <v>0</v>
      </c>
    </row>
    <row r="47" spans="1:9" s="4" customFormat="1" ht="9.75" customHeight="1">
      <c r="A47" s="4">
        <v>2227</v>
      </c>
      <c r="B47" s="10">
        <v>500001</v>
      </c>
      <c r="C47" s="6" t="s">
        <v>19</v>
      </c>
      <c r="D47" s="3">
        <v>46173</v>
      </c>
      <c r="E47" s="4" t="s">
        <v>9</v>
      </c>
      <c r="F47" s="5" t="s">
        <v>10</v>
      </c>
      <c r="G47" s="7">
        <v>50900027917</v>
      </c>
      <c r="H47" s="2">
        <v>11100</v>
      </c>
      <c r="I47" s="2">
        <v>0</v>
      </c>
    </row>
    <row r="48" spans="1:9" s="4" customFormat="1" ht="9.75" customHeight="1">
      <c r="A48" s="4">
        <v>2228</v>
      </c>
      <c r="B48" s="10">
        <v>500001</v>
      </c>
      <c r="C48" s="6" t="s">
        <v>88</v>
      </c>
      <c r="D48" s="3">
        <v>46173</v>
      </c>
      <c r="E48" s="4" t="s">
        <v>23</v>
      </c>
      <c r="F48" s="5" t="s">
        <v>32</v>
      </c>
      <c r="G48" s="33" t="s">
        <v>24</v>
      </c>
      <c r="H48" s="2">
        <v>0</v>
      </c>
      <c r="I48" s="2">
        <v>24450</v>
      </c>
    </row>
    <row r="49" spans="1:9" s="4" customFormat="1" ht="9.75" customHeight="1">
      <c r="A49" s="4">
        <v>2229</v>
      </c>
      <c r="B49" s="10">
        <v>500001</v>
      </c>
      <c r="C49" s="6" t="s">
        <v>88</v>
      </c>
      <c r="D49" s="3">
        <v>46173</v>
      </c>
      <c r="E49" s="4" t="s">
        <v>23</v>
      </c>
      <c r="F49" s="5" t="s">
        <v>32</v>
      </c>
      <c r="G49" s="33" t="s">
        <v>24</v>
      </c>
      <c r="H49" s="2">
        <v>0</v>
      </c>
      <c r="I49" s="2">
        <v>20071</v>
      </c>
    </row>
    <row r="50" spans="1:9" s="4" customFormat="1" ht="9.75" customHeight="1">
      <c r="A50" s="4">
        <v>2230</v>
      </c>
      <c r="B50" s="10">
        <v>500001</v>
      </c>
      <c r="C50" s="6" t="s">
        <v>88</v>
      </c>
      <c r="D50" s="3">
        <v>46173</v>
      </c>
      <c r="E50" s="4" t="s">
        <v>23</v>
      </c>
      <c r="F50" s="5" t="s">
        <v>32</v>
      </c>
      <c r="G50" s="33" t="s">
        <v>24</v>
      </c>
      <c r="H50" s="2">
        <v>0</v>
      </c>
      <c r="I50" s="2">
        <v>14685</v>
      </c>
    </row>
    <row r="51" spans="1:9" s="4" customFormat="1" ht="9.75" customHeight="1">
      <c r="A51" s="4">
        <v>2231</v>
      </c>
      <c r="B51" s="10">
        <v>500001</v>
      </c>
      <c r="C51" s="6" t="s">
        <v>88</v>
      </c>
      <c r="D51" s="3">
        <v>46173</v>
      </c>
      <c r="E51" s="4" t="s">
        <v>23</v>
      </c>
      <c r="F51" s="5" t="s">
        <v>32</v>
      </c>
      <c r="G51" s="33" t="s">
        <v>24</v>
      </c>
      <c r="H51" s="2">
        <v>0</v>
      </c>
      <c r="I51" s="2">
        <v>14700</v>
      </c>
    </row>
    <row r="52" spans="1:9" s="4" customFormat="1" ht="9.75" customHeight="1">
      <c r="A52" s="4">
        <v>2232</v>
      </c>
      <c r="B52" s="10">
        <v>500001</v>
      </c>
      <c r="C52" s="6" t="s">
        <v>88</v>
      </c>
      <c r="D52" s="3">
        <v>46173</v>
      </c>
      <c r="E52" s="4" t="s">
        <v>23</v>
      </c>
      <c r="F52" s="5" t="s">
        <v>32</v>
      </c>
      <c r="G52" s="33" t="s">
        <v>24</v>
      </c>
      <c r="H52" s="2">
        <v>0</v>
      </c>
      <c r="I52" s="2">
        <v>24500</v>
      </c>
    </row>
    <row r="53" spans="1:9" s="4" customFormat="1" ht="9.75" customHeight="1">
      <c r="A53" s="4">
        <v>2233</v>
      </c>
      <c r="B53" s="10">
        <v>500001</v>
      </c>
      <c r="C53" s="6" t="s">
        <v>88</v>
      </c>
      <c r="D53" s="3">
        <v>46173</v>
      </c>
      <c r="E53" s="4" t="s">
        <v>23</v>
      </c>
      <c r="F53" s="5" t="s">
        <v>32</v>
      </c>
      <c r="G53" s="33" t="s">
        <v>24</v>
      </c>
      <c r="H53" s="2">
        <v>0</v>
      </c>
      <c r="I53" s="2">
        <v>9870</v>
      </c>
    </row>
    <row r="54" spans="1:9" s="4" customFormat="1" ht="9.75" customHeight="1">
      <c r="A54" s="4">
        <v>2234</v>
      </c>
      <c r="B54" s="10">
        <v>500001</v>
      </c>
      <c r="C54" s="6" t="s">
        <v>88</v>
      </c>
      <c r="D54" s="3">
        <v>46173</v>
      </c>
      <c r="E54" s="4" t="s">
        <v>23</v>
      </c>
      <c r="F54" s="5" t="s">
        <v>32</v>
      </c>
      <c r="G54" s="33" t="s">
        <v>24</v>
      </c>
      <c r="H54" s="2">
        <v>0</v>
      </c>
      <c r="I54" s="2">
        <v>24840</v>
      </c>
    </row>
    <row r="55" spans="1:9" s="4" customFormat="1" ht="9.75" customHeight="1">
      <c r="A55" s="4">
        <v>2235</v>
      </c>
      <c r="B55" s="10">
        <v>500001</v>
      </c>
      <c r="C55" s="6" t="s">
        <v>88</v>
      </c>
      <c r="D55" s="3">
        <v>46173</v>
      </c>
      <c r="E55" s="4" t="s">
        <v>23</v>
      </c>
      <c r="F55" s="5" t="s">
        <v>32</v>
      </c>
      <c r="G55" s="33" t="s">
        <v>24</v>
      </c>
      <c r="H55" s="2">
        <v>0</v>
      </c>
      <c r="I55" s="2">
        <v>35000</v>
      </c>
    </row>
    <row r="56" spans="1:9" s="4" customFormat="1" ht="9.75" customHeight="1">
      <c r="A56" s="4">
        <v>2236</v>
      </c>
      <c r="B56" s="10">
        <v>500001</v>
      </c>
      <c r="C56" s="6" t="s">
        <v>88</v>
      </c>
      <c r="D56" s="3">
        <v>46173</v>
      </c>
      <c r="E56" s="4" t="s">
        <v>23</v>
      </c>
      <c r="F56" s="5" t="s">
        <v>32</v>
      </c>
      <c r="G56" s="33" t="s">
        <v>24</v>
      </c>
      <c r="H56" s="2">
        <v>0</v>
      </c>
      <c r="I56" s="2">
        <v>15540</v>
      </c>
    </row>
    <row r="57" spans="1:9" s="4" customFormat="1" ht="9.75" customHeight="1">
      <c r="A57" s="4">
        <v>2237</v>
      </c>
      <c r="B57" s="10">
        <v>500001</v>
      </c>
      <c r="C57" s="6" t="s">
        <v>88</v>
      </c>
      <c r="D57" s="3">
        <v>46173</v>
      </c>
      <c r="E57" s="4" t="s">
        <v>23</v>
      </c>
      <c r="F57" s="5" t="s">
        <v>32</v>
      </c>
      <c r="G57" s="33" t="s">
        <v>24</v>
      </c>
      <c r="H57" s="2">
        <v>0</v>
      </c>
      <c r="I57" s="2">
        <v>51800</v>
      </c>
    </row>
    <row r="58" spans="1:9" s="4" customFormat="1" ht="9.75" customHeight="1">
      <c r="A58" s="4">
        <v>2238</v>
      </c>
      <c r="B58" s="10">
        <v>500001</v>
      </c>
      <c r="C58" s="6" t="s">
        <v>88</v>
      </c>
      <c r="D58" s="3">
        <v>46173</v>
      </c>
      <c r="E58" s="4" t="s">
        <v>23</v>
      </c>
      <c r="F58" s="5" t="s">
        <v>32</v>
      </c>
      <c r="G58" s="33" t="s">
        <v>24</v>
      </c>
      <c r="H58" s="2">
        <v>0</v>
      </c>
      <c r="I58" s="2">
        <v>31830</v>
      </c>
    </row>
    <row r="59" spans="1:9" s="4" customFormat="1" ht="9.75" customHeight="1">
      <c r="A59" s="4">
        <v>2239</v>
      </c>
      <c r="B59" s="10">
        <v>500001</v>
      </c>
      <c r="C59" s="6" t="s">
        <v>89</v>
      </c>
      <c r="D59" s="3">
        <v>46173</v>
      </c>
      <c r="E59" s="4" t="s">
        <v>23</v>
      </c>
      <c r="F59" s="5" t="s">
        <v>32</v>
      </c>
      <c r="G59" s="33" t="s">
        <v>24</v>
      </c>
      <c r="H59" s="2">
        <v>0</v>
      </c>
      <c r="I59" s="2">
        <v>26530</v>
      </c>
    </row>
    <row r="60" spans="1:9" s="4" customFormat="1" ht="9.75" customHeight="1">
      <c r="A60" s="4">
        <v>2240</v>
      </c>
      <c r="B60" s="10">
        <v>500001</v>
      </c>
      <c r="C60" s="6" t="s">
        <v>89</v>
      </c>
      <c r="D60" s="3">
        <v>46173</v>
      </c>
      <c r="E60" s="4" t="s">
        <v>23</v>
      </c>
      <c r="F60" s="5" t="s">
        <v>32</v>
      </c>
      <c r="G60" s="33" t="s">
        <v>25</v>
      </c>
      <c r="H60" s="2">
        <v>0</v>
      </c>
      <c r="I60" s="2">
        <v>68000</v>
      </c>
    </row>
    <row r="61" spans="1:9" s="4" customFormat="1" ht="9.75" customHeight="1">
      <c r="A61" s="4">
        <v>2241</v>
      </c>
      <c r="B61" s="10">
        <v>500001</v>
      </c>
      <c r="C61" s="6" t="s">
        <v>89</v>
      </c>
      <c r="D61" s="3">
        <v>46173</v>
      </c>
      <c r="E61" s="4" t="s">
        <v>23</v>
      </c>
      <c r="F61" s="5" t="s">
        <v>32</v>
      </c>
      <c r="G61" s="33" t="s">
        <v>25</v>
      </c>
      <c r="H61" s="2">
        <v>0</v>
      </c>
      <c r="I61" s="2">
        <v>16061</v>
      </c>
    </row>
    <row r="62" spans="1:9" s="4" customFormat="1" ht="9.75" customHeight="1">
      <c r="A62" s="4">
        <v>2242</v>
      </c>
      <c r="B62" s="10">
        <v>500001</v>
      </c>
      <c r="C62" s="6" t="s">
        <v>89</v>
      </c>
      <c r="D62" s="3">
        <v>46173</v>
      </c>
      <c r="E62" s="4" t="s">
        <v>23</v>
      </c>
      <c r="F62" s="5" t="s">
        <v>32</v>
      </c>
      <c r="G62" s="33" t="s">
        <v>25</v>
      </c>
      <c r="H62" s="2">
        <v>0</v>
      </c>
      <c r="I62" s="2">
        <v>16482</v>
      </c>
    </row>
    <row r="63" spans="1:9" s="4" customFormat="1" ht="9.75" customHeight="1">
      <c r="A63" s="4">
        <v>2243</v>
      </c>
      <c r="B63" s="10">
        <v>500001</v>
      </c>
      <c r="C63" s="6" t="s">
        <v>89</v>
      </c>
      <c r="D63" s="3">
        <v>46173</v>
      </c>
      <c r="E63" s="4" t="s">
        <v>23</v>
      </c>
      <c r="F63" s="5" t="s">
        <v>32</v>
      </c>
      <c r="G63" s="33" t="s">
        <v>25</v>
      </c>
      <c r="H63" s="2">
        <v>0</v>
      </c>
      <c r="I63" s="2">
        <v>11000</v>
      </c>
    </row>
    <row r="64" spans="1:9" s="4" customFormat="1" ht="9.75" customHeight="1">
      <c r="A64" s="4">
        <v>2244</v>
      </c>
      <c r="B64" s="10">
        <v>500001</v>
      </c>
      <c r="C64" s="6" t="s">
        <v>89</v>
      </c>
      <c r="D64" s="3">
        <v>46173</v>
      </c>
      <c r="E64" s="4" t="s">
        <v>23</v>
      </c>
      <c r="F64" s="5" t="s">
        <v>32</v>
      </c>
      <c r="G64" s="33" t="s">
        <v>25</v>
      </c>
      <c r="H64" s="2">
        <v>0</v>
      </c>
      <c r="I64" s="2">
        <v>110000</v>
      </c>
    </row>
    <row r="65" spans="1:9" s="4" customFormat="1" ht="9.75" customHeight="1">
      <c r="A65" s="4">
        <v>2245</v>
      </c>
      <c r="B65" s="10">
        <v>500001</v>
      </c>
      <c r="C65" s="6" t="s">
        <v>89</v>
      </c>
      <c r="D65" s="3">
        <v>46173</v>
      </c>
      <c r="E65" s="4" t="s">
        <v>23</v>
      </c>
      <c r="F65" s="5" t="s">
        <v>32</v>
      </c>
      <c r="G65" s="33" t="s">
        <v>25</v>
      </c>
      <c r="H65" s="2">
        <v>0</v>
      </c>
      <c r="I65" s="2">
        <v>11100</v>
      </c>
    </row>
    <row r="66" spans="1:9" s="4" customFormat="1" ht="9.75" customHeight="1">
      <c r="A66" s="4">
        <v>2246</v>
      </c>
      <c r="B66" s="10">
        <v>500001</v>
      </c>
      <c r="C66" s="6" t="s">
        <v>89</v>
      </c>
      <c r="D66" s="3">
        <v>46173</v>
      </c>
      <c r="E66" s="4" t="s">
        <v>23</v>
      </c>
      <c r="F66" s="5" t="s">
        <v>32</v>
      </c>
      <c r="G66" s="33" t="s">
        <v>25</v>
      </c>
      <c r="H66" s="2">
        <v>0</v>
      </c>
      <c r="I66" s="2">
        <v>22200</v>
      </c>
    </row>
    <row r="67" spans="1:9" s="4" customFormat="1" ht="9.75" customHeight="1">
      <c r="A67" s="4">
        <v>2247</v>
      </c>
      <c r="B67" s="10">
        <v>500001</v>
      </c>
      <c r="C67" s="6" t="s">
        <v>89</v>
      </c>
      <c r="D67" s="3">
        <v>46173</v>
      </c>
      <c r="E67" s="4" t="s">
        <v>23</v>
      </c>
      <c r="F67" s="5" t="s">
        <v>32</v>
      </c>
      <c r="G67" s="33" t="s">
        <v>25</v>
      </c>
      <c r="H67" s="2">
        <v>0</v>
      </c>
      <c r="I67" s="2">
        <v>11100</v>
      </c>
    </row>
    <row r="68" spans="1:9" s="4" customFormat="1" ht="9.75" customHeight="1">
      <c r="A68" s="4">
        <v>2248</v>
      </c>
      <c r="B68" s="10">
        <v>500001</v>
      </c>
      <c r="C68" s="1" t="s">
        <v>92</v>
      </c>
      <c r="D68" s="3">
        <v>46173</v>
      </c>
      <c r="E68" s="4" t="s">
        <v>86</v>
      </c>
      <c r="F68" s="5" t="s">
        <v>87</v>
      </c>
      <c r="G68" s="33" t="s">
        <v>24</v>
      </c>
      <c r="H68" s="2">
        <v>24475</v>
      </c>
      <c r="I68" s="2">
        <v>0</v>
      </c>
    </row>
    <row r="69" spans="1:9" s="4" customFormat="1" ht="9.75" customHeight="1">
      <c r="A69" s="4">
        <v>2249</v>
      </c>
      <c r="B69" s="10">
        <v>500001</v>
      </c>
      <c r="C69" s="1" t="s">
        <v>92</v>
      </c>
      <c r="D69" s="3">
        <v>46173</v>
      </c>
      <c r="E69" s="4" t="s">
        <v>86</v>
      </c>
      <c r="F69" s="5" t="s">
        <v>87</v>
      </c>
      <c r="G69" s="33" t="s">
        <v>24</v>
      </c>
      <c r="H69" s="2">
        <v>17600</v>
      </c>
      <c r="I69" s="2">
        <v>0</v>
      </c>
    </row>
    <row r="70" spans="1:9" s="4" customFormat="1" ht="9.75" customHeight="1">
      <c r="A70" s="4">
        <v>2250</v>
      </c>
      <c r="B70" s="10">
        <v>500001</v>
      </c>
      <c r="C70" s="1" t="s">
        <v>92</v>
      </c>
      <c r="D70" s="3">
        <v>46173</v>
      </c>
      <c r="E70" s="4" t="s">
        <v>86</v>
      </c>
      <c r="F70" s="5" t="s">
        <v>87</v>
      </c>
      <c r="G70" s="33" t="s">
        <v>25</v>
      </c>
      <c r="H70" s="2">
        <v>10881</v>
      </c>
      <c r="I70" s="2">
        <v>0</v>
      </c>
    </row>
    <row r="71" spans="1:9" s="4" customFormat="1" ht="9.75" customHeight="1">
      <c r="A71" s="4">
        <v>2251</v>
      </c>
      <c r="B71" s="10">
        <v>500001</v>
      </c>
      <c r="C71" s="1" t="s">
        <v>92</v>
      </c>
      <c r="D71" s="3">
        <v>46173</v>
      </c>
      <c r="E71" s="4" t="s">
        <v>86</v>
      </c>
      <c r="F71" s="5" t="s">
        <v>87</v>
      </c>
      <c r="G71" s="33" t="s">
        <v>25</v>
      </c>
      <c r="H71" s="2">
        <v>22000</v>
      </c>
      <c r="I71" s="2">
        <v>0</v>
      </c>
    </row>
    <row r="72" spans="1:9" s="4" customFormat="1" ht="9.75" customHeight="1">
      <c r="A72" s="4">
        <v>2252</v>
      </c>
      <c r="B72" s="10">
        <v>500001</v>
      </c>
      <c r="C72" s="1" t="s">
        <v>92</v>
      </c>
      <c r="D72" s="3">
        <v>46173</v>
      </c>
      <c r="E72" s="4" t="s">
        <v>23</v>
      </c>
      <c r="F72" s="5" t="s">
        <v>32</v>
      </c>
      <c r="G72" s="33" t="s">
        <v>24</v>
      </c>
      <c r="H72" s="2">
        <v>0</v>
      </c>
      <c r="I72" s="2">
        <v>24475</v>
      </c>
    </row>
    <row r="73" spans="1:9" s="4" customFormat="1" ht="9.75" customHeight="1">
      <c r="A73" s="4">
        <v>2253</v>
      </c>
      <c r="B73" s="10">
        <v>500001</v>
      </c>
      <c r="C73" s="1" t="s">
        <v>92</v>
      </c>
      <c r="D73" s="3">
        <v>46173</v>
      </c>
      <c r="E73" s="4" t="s">
        <v>23</v>
      </c>
      <c r="F73" s="5" t="s">
        <v>32</v>
      </c>
      <c r="G73" s="33" t="s">
        <v>24</v>
      </c>
      <c r="H73" s="2">
        <v>0</v>
      </c>
      <c r="I73" s="2">
        <v>17600</v>
      </c>
    </row>
    <row r="74" spans="1:9" s="4" customFormat="1" ht="9.75" customHeight="1">
      <c r="A74" s="4">
        <v>2254</v>
      </c>
      <c r="B74" s="10">
        <v>500001</v>
      </c>
      <c r="C74" s="1" t="s">
        <v>92</v>
      </c>
      <c r="D74" s="3">
        <v>46173</v>
      </c>
      <c r="E74" s="4" t="s">
        <v>23</v>
      </c>
      <c r="F74" s="5" t="s">
        <v>32</v>
      </c>
      <c r="G74" s="33" t="s">
        <v>25</v>
      </c>
      <c r="H74" s="2">
        <v>0</v>
      </c>
      <c r="I74" s="2">
        <v>10881</v>
      </c>
    </row>
    <row r="75" spans="1:9" s="4" customFormat="1" ht="9.75" customHeight="1">
      <c r="A75" s="4">
        <v>2255</v>
      </c>
      <c r="B75" s="10">
        <v>500001</v>
      </c>
      <c r="C75" s="1" t="s">
        <v>92</v>
      </c>
      <c r="D75" s="3">
        <v>46173</v>
      </c>
      <c r="E75" s="4" t="s">
        <v>23</v>
      </c>
      <c r="F75" s="5" t="s">
        <v>32</v>
      </c>
      <c r="G75" s="33" t="s">
        <v>25</v>
      </c>
      <c r="H75" s="2">
        <v>0</v>
      </c>
      <c r="I75" s="2">
        <v>22000</v>
      </c>
    </row>
    <row r="76" spans="1:9" s="4" customFormat="1" ht="9.75" customHeight="1">
      <c r="A76" s="4">
        <v>2256</v>
      </c>
      <c r="B76" s="10">
        <v>500002</v>
      </c>
      <c r="C76" s="1" t="s">
        <v>95</v>
      </c>
      <c r="D76" s="3">
        <v>46173</v>
      </c>
      <c r="E76" s="4" t="s">
        <v>23</v>
      </c>
      <c r="F76" s="5" t="s">
        <v>35</v>
      </c>
      <c r="G76" s="33" t="s">
        <v>26</v>
      </c>
      <c r="H76" s="2">
        <v>9743</v>
      </c>
      <c r="I76" s="2">
        <v>0</v>
      </c>
    </row>
    <row r="77" spans="1:9" s="4" customFormat="1" ht="9.75" customHeight="1">
      <c r="A77" s="4">
        <v>2257</v>
      </c>
      <c r="B77" s="10">
        <v>500002</v>
      </c>
      <c r="C77" s="1" t="s">
        <v>95</v>
      </c>
      <c r="D77" s="3">
        <v>46173</v>
      </c>
      <c r="E77" s="4" t="s">
        <v>23</v>
      </c>
      <c r="F77" s="5" t="s">
        <v>35</v>
      </c>
      <c r="G77" s="33" t="s">
        <v>26</v>
      </c>
      <c r="H77" s="2">
        <v>14614</v>
      </c>
      <c r="I77" s="2">
        <v>0</v>
      </c>
    </row>
    <row r="78" spans="1:9" s="4" customFormat="1" ht="9.75" customHeight="1">
      <c r="A78" s="4">
        <v>2258</v>
      </c>
      <c r="B78" s="10">
        <v>500002</v>
      </c>
      <c r="C78" s="1" t="s">
        <v>95</v>
      </c>
      <c r="D78" s="3">
        <v>46173</v>
      </c>
      <c r="E78" s="4" t="s">
        <v>23</v>
      </c>
      <c r="F78" s="5" t="s">
        <v>35</v>
      </c>
      <c r="G78" s="33" t="s">
        <v>26</v>
      </c>
      <c r="H78" s="2">
        <v>17050</v>
      </c>
      <c r="I78" s="2">
        <v>0</v>
      </c>
    </row>
    <row r="79" spans="1:9" s="4" customFormat="1" ht="9.75" customHeight="1">
      <c r="A79" s="4">
        <v>2259</v>
      </c>
      <c r="B79" s="10">
        <v>500002</v>
      </c>
      <c r="C79" s="1" t="s">
        <v>95</v>
      </c>
      <c r="D79" s="3">
        <v>46173</v>
      </c>
      <c r="E79" s="4" t="s">
        <v>23</v>
      </c>
      <c r="F79" s="5" t="s">
        <v>35</v>
      </c>
      <c r="G79" s="33" t="s">
        <v>26</v>
      </c>
      <c r="H79" s="2">
        <v>12178</v>
      </c>
      <c r="I79" s="2">
        <v>0</v>
      </c>
    </row>
    <row r="80" spans="1:9" s="4" customFormat="1" ht="9.75" customHeight="1">
      <c r="A80" s="4">
        <v>2260</v>
      </c>
      <c r="B80" s="10">
        <v>500002</v>
      </c>
      <c r="C80" s="1" t="s">
        <v>95</v>
      </c>
      <c r="D80" s="3">
        <v>46173</v>
      </c>
      <c r="E80" s="4" t="s">
        <v>23</v>
      </c>
      <c r="F80" s="5" t="s">
        <v>35</v>
      </c>
      <c r="G80" s="33" t="s">
        <v>26</v>
      </c>
      <c r="H80" s="2">
        <v>24478</v>
      </c>
      <c r="I80" s="2">
        <v>0</v>
      </c>
    </row>
    <row r="81" spans="1:9" s="4" customFormat="1" ht="9.75" customHeight="1">
      <c r="A81" s="4">
        <v>2261</v>
      </c>
      <c r="B81" s="10">
        <v>500002</v>
      </c>
      <c r="C81" s="1" t="s">
        <v>95</v>
      </c>
      <c r="D81" s="3">
        <v>46173</v>
      </c>
      <c r="E81" s="4" t="s">
        <v>23</v>
      </c>
      <c r="F81" s="5" t="s">
        <v>35</v>
      </c>
      <c r="G81" s="33" t="s">
        <v>26</v>
      </c>
      <c r="H81" s="2">
        <v>19602</v>
      </c>
      <c r="I81" s="2">
        <v>0</v>
      </c>
    </row>
    <row r="82" spans="1:9" s="4" customFormat="1" ht="9.75" customHeight="1">
      <c r="A82" s="4">
        <v>2262</v>
      </c>
      <c r="B82" s="10">
        <v>500002</v>
      </c>
      <c r="C82" s="1" t="s">
        <v>95</v>
      </c>
      <c r="D82" s="3">
        <v>46173</v>
      </c>
      <c r="E82" s="4" t="s">
        <v>23</v>
      </c>
      <c r="F82" s="5" t="s">
        <v>35</v>
      </c>
      <c r="G82" s="33" t="s">
        <v>26</v>
      </c>
      <c r="H82" s="2">
        <v>39204</v>
      </c>
      <c r="I82" s="2">
        <v>0</v>
      </c>
    </row>
    <row r="83" spans="1:9" s="4" customFormat="1" ht="9.75" customHeight="1">
      <c r="A83" s="4">
        <v>2263</v>
      </c>
      <c r="B83" s="10">
        <v>500002</v>
      </c>
      <c r="C83" s="1" t="s">
        <v>95</v>
      </c>
      <c r="D83" s="3">
        <v>46173</v>
      </c>
      <c r="E83" s="4" t="s">
        <v>23</v>
      </c>
      <c r="F83" s="5" t="s">
        <v>35</v>
      </c>
      <c r="G83" s="33" t="s">
        <v>26</v>
      </c>
      <c r="H83" s="2">
        <v>17496</v>
      </c>
      <c r="I83" s="2">
        <v>0</v>
      </c>
    </row>
    <row r="84" spans="1:9" s="4" customFormat="1" ht="9.75" customHeight="1">
      <c r="A84" s="4">
        <v>2264</v>
      </c>
      <c r="B84" s="10">
        <v>500002</v>
      </c>
      <c r="C84" s="1" t="s">
        <v>95</v>
      </c>
      <c r="D84" s="3">
        <v>46173</v>
      </c>
      <c r="E84" s="4" t="s">
        <v>23</v>
      </c>
      <c r="F84" s="5" t="s">
        <v>35</v>
      </c>
      <c r="G84" s="33" t="s">
        <v>26</v>
      </c>
      <c r="H84" s="2">
        <v>12497</v>
      </c>
      <c r="I84" s="2">
        <v>0</v>
      </c>
    </row>
    <row r="85" spans="1:9" s="4" customFormat="1" ht="9.75" customHeight="1">
      <c r="A85" s="4">
        <v>2265</v>
      </c>
      <c r="B85" s="10">
        <v>500002</v>
      </c>
      <c r="C85" s="1" t="s">
        <v>95</v>
      </c>
      <c r="D85" s="3">
        <v>46173</v>
      </c>
      <c r="E85" s="4" t="s">
        <v>23</v>
      </c>
      <c r="F85" s="5" t="s">
        <v>35</v>
      </c>
      <c r="G85" s="33" t="s">
        <v>26</v>
      </c>
      <c r="H85" s="2">
        <v>10099</v>
      </c>
      <c r="I85" s="2">
        <v>0</v>
      </c>
    </row>
    <row r="86" spans="1:9" s="4" customFormat="1" ht="9.75" customHeight="1">
      <c r="A86" s="4">
        <v>2266</v>
      </c>
      <c r="B86" s="10">
        <v>500002</v>
      </c>
      <c r="C86" s="1" t="s">
        <v>95</v>
      </c>
      <c r="D86" s="3">
        <v>46173</v>
      </c>
      <c r="E86" s="4" t="s">
        <v>23</v>
      </c>
      <c r="F86" s="5" t="s">
        <v>35</v>
      </c>
      <c r="G86" s="33" t="s">
        <v>26</v>
      </c>
      <c r="H86" s="2">
        <v>84280</v>
      </c>
      <c r="I86" s="2">
        <v>0</v>
      </c>
    </row>
    <row r="87" spans="1:9" s="4" customFormat="1" ht="9.75" customHeight="1">
      <c r="A87" s="4">
        <v>2267</v>
      </c>
      <c r="B87" s="10">
        <v>500002</v>
      </c>
      <c r="C87" s="1" t="s">
        <v>95</v>
      </c>
      <c r="D87" s="3">
        <v>46173</v>
      </c>
      <c r="E87" s="4" t="s">
        <v>23</v>
      </c>
      <c r="F87" s="5" t="s">
        <v>35</v>
      </c>
      <c r="G87" s="33" t="s">
        <v>26</v>
      </c>
      <c r="H87" s="2">
        <v>41215</v>
      </c>
      <c r="I87" s="2">
        <v>0</v>
      </c>
    </row>
    <row r="88" spans="1:9" s="4" customFormat="1" ht="9.75" customHeight="1">
      <c r="A88" s="4">
        <v>2268</v>
      </c>
      <c r="B88" s="10">
        <v>500002</v>
      </c>
      <c r="C88" s="1" t="s">
        <v>95</v>
      </c>
      <c r="D88" s="3">
        <v>46173</v>
      </c>
      <c r="E88" s="4" t="s">
        <v>23</v>
      </c>
      <c r="F88" s="5" t="s">
        <v>35</v>
      </c>
      <c r="G88" s="33" t="s">
        <v>26</v>
      </c>
      <c r="H88" s="2">
        <v>46617</v>
      </c>
      <c r="I88" s="2">
        <v>0</v>
      </c>
    </row>
    <row r="89" spans="1:9" s="4" customFormat="1" ht="9.75" customHeight="1">
      <c r="A89" s="4">
        <v>2269</v>
      </c>
      <c r="B89" s="10">
        <v>500002</v>
      </c>
      <c r="C89" s="1" t="s">
        <v>95</v>
      </c>
      <c r="D89" s="3">
        <v>46173</v>
      </c>
      <c r="E89" s="4" t="s">
        <v>23</v>
      </c>
      <c r="F89" s="5" t="s">
        <v>35</v>
      </c>
      <c r="G89" s="33" t="s">
        <v>26</v>
      </c>
      <c r="H89" s="2">
        <v>5180</v>
      </c>
      <c r="I89" s="2">
        <v>0</v>
      </c>
    </row>
    <row r="90" spans="1:9" s="4" customFormat="1" ht="9.75" customHeight="1">
      <c r="A90" s="4">
        <v>2270</v>
      </c>
      <c r="B90" s="10">
        <v>500002</v>
      </c>
      <c r="C90" s="1" t="s">
        <v>96</v>
      </c>
      <c r="D90" s="3">
        <v>46173</v>
      </c>
      <c r="E90" s="4" t="s">
        <v>23</v>
      </c>
      <c r="F90" s="5" t="s">
        <v>35</v>
      </c>
      <c r="G90" s="33" t="s">
        <v>27</v>
      </c>
      <c r="H90" s="2">
        <v>15539</v>
      </c>
      <c r="I90" s="2">
        <v>0</v>
      </c>
    </row>
    <row r="91" spans="1:9" s="4" customFormat="1" ht="9.75" customHeight="1">
      <c r="A91" s="4">
        <v>2271</v>
      </c>
      <c r="B91" s="10">
        <v>500002</v>
      </c>
      <c r="C91" s="1" t="s">
        <v>96</v>
      </c>
      <c r="D91" s="3">
        <v>46173</v>
      </c>
      <c r="E91" s="4" t="s">
        <v>23</v>
      </c>
      <c r="F91" s="5" t="s">
        <v>35</v>
      </c>
      <c r="G91" s="33" t="s">
        <v>27</v>
      </c>
      <c r="H91" s="2">
        <v>15539</v>
      </c>
      <c r="I91" s="2">
        <v>0</v>
      </c>
    </row>
    <row r="92" spans="1:9" s="4" customFormat="1" ht="9.75" customHeight="1">
      <c r="A92" s="4">
        <v>2272</v>
      </c>
      <c r="B92" s="10">
        <v>500002</v>
      </c>
      <c r="C92" s="1" t="s">
        <v>96</v>
      </c>
      <c r="D92" s="3">
        <v>46173</v>
      </c>
      <c r="E92" s="4" t="s">
        <v>23</v>
      </c>
      <c r="F92" s="5" t="s">
        <v>35</v>
      </c>
      <c r="G92" s="33" t="s">
        <v>27</v>
      </c>
      <c r="H92" s="2">
        <v>79576</v>
      </c>
      <c r="I92" s="2">
        <v>0</v>
      </c>
    </row>
    <row r="93" spans="1:9" s="4" customFormat="1" ht="9.75" customHeight="1">
      <c r="A93" s="4">
        <v>2273</v>
      </c>
      <c r="B93" s="10">
        <v>500002</v>
      </c>
      <c r="C93" s="1" t="s">
        <v>96</v>
      </c>
      <c r="D93" s="3">
        <v>46173</v>
      </c>
      <c r="E93" s="4" t="s">
        <v>23</v>
      </c>
      <c r="F93" s="5" t="s">
        <v>35</v>
      </c>
      <c r="G93" s="33" t="s">
        <v>27</v>
      </c>
      <c r="H93" s="2">
        <v>10080</v>
      </c>
      <c r="I93" s="2">
        <v>0</v>
      </c>
    </row>
    <row r="94" spans="1:9" s="4" customFormat="1" ht="9.75" customHeight="1">
      <c r="A94" s="4">
        <v>2274</v>
      </c>
      <c r="B94" s="10">
        <v>500002</v>
      </c>
      <c r="C94" s="1" t="s">
        <v>96</v>
      </c>
      <c r="D94" s="3">
        <v>46173</v>
      </c>
      <c r="E94" s="4" t="s">
        <v>23</v>
      </c>
      <c r="F94" s="5" t="s">
        <v>35</v>
      </c>
      <c r="G94" s="33" t="s">
        <v>27</v>
      </c>
      <c r="H94" s="2">
        <v>16062</v>
      </c>
      <c r="I94" s="2">
        <v>0</v>
      </c>
    </row>
    <row r="95" spans="1:9" s="4" customFormat="1" ht="9.75" customHeight="1">
      <c r="A95" s="4">
        <v>2275</v>
      </c>
      <c r="B95" s="10">
        <v>500002</v>
      </c>
      <c r="C95" s="1" t="s">
        <v>96</v>
      </c>
      <c r="D95" s="3">
        <v>46173</v>
      </c>
      <c r="E95" s="4" t="s">
        <v>23</v>
      </c>
      <c r="F95" s="5" t="s">
        <v>35</v>
      </c>
      <c r="G95" s="33" t="s">
        <v>27</v>
      </c>
      <c r="H95" s="2">
        <v>16742</v>
      </c>
      <c r="I95" s="2">
        <v>0</v>
      </c>
    </row>
    <row r="96" spans="1:9" s="4" customFormat="1" ht="9.75" customHeight="1">
      <c r="A96" s="4">
        <v>2276</v>
      </c>
      <c r="B96" s="10">
        <v>500002</v>
      </c>
      <c r="C96" s="1" t="s">
        <v>96</v>
      </c>
      <c r="D96" s="3">
        <v>46173</v>
      </c>
      <c r="E96" s="4" t="s">
        <v>23</v>
      </c>
      <c r="F96" s="5" t="s">
        <v>35</v>
      </c>
      <c r="G96" s="33" t="s">
        <v>27</v>
      </c>
      <c r="H96" s="2">
        <v>16202</v>
      </c>
      <c r="I96" s="2">
        <v>0</v>
      </c>
    </row>
    <row r="97" spans="1:9" s="4" customFormat="1" ht="9.75" customHeight="1">
      <c r="A97" s="4">
        <v>2277</v>
      </c>
      <c r="B97" s="10">
        <v>500002</v>
      </c>
      <c r="C97" s="1" t="s">
        <v>96</v>
      </c>
      <c r="D97" s="3">
        <v>46173</v>
      </c>
      <c r="E97" s="4" t="s">
        <v>23</v>
      </c>
      <c r="F97" s="5" t="s">
        <v>35</v>
      </c>
      <c r="G97" s="33" t="s">
        <v>27</v>
      </c>
      <c r="H97" s="2">
        <v>10892</v>
      </c>
      <c r="I97" s="2">
        <v>0</v>
      </c>
    </row>
    <row r="98" spans="1:9" s="4" customFormat="1" ht="9.75" customHeight="1">
      <c r="A98" s="4">
        <v>2278</v>
      </c>
      <c r="B98" s="10">
        <v>500002</v>
      </c>
      <c r="C98" s="1" t="s">
        <v>96</v>
      </c>
      <c r="D98" s="3">
        <v>46173</v>
      </c>
      <c r="E98" s="4" t="s">
        <v>23</v>
      </c>
      <c r="F98" s="5" t="s">
        <v>35</v>
      </c>
      <c r="G98" s="33" t="s">
        <v>27</v>
      </c>
      <c r="H98" s="2">
        <v>21975</v>
      </c>
      <c r="I98" s="2">
        <v>0</v>
      </c>
    </row>
    <row r="99" spans="1:9" s="4" customFormat="1" ht="9.75" customHeight="1">
      <c r="A99" s="4">
        <v>2279</v>
      </c>
      <c r="B99" s="10">
        <v>500002</v>
      </c>
      <c r="C99" s="1" t="s">
        <v>96</v>
      </c>
      <c r="D99" s="3">
        <v>46173</v>
      </c>
      <c r="E99" s="4" t="s">
        <v>23</v>
      </c>
      <c r="F99" s="5" t="s">
        <v>35</v>
      </c>
      <c r="G99" s="33" t="s">
        <v>27</v>
      </c>
      <c r="H99" s="2">
        <v>38457</v>
      </c>
      <c r="I99" s="2">
        <v>0</v>
      </c>
    </row>
    <row r="100" spans="1:9" s="4" customFormat="1" ht="9.75" customHeight="1">
      <c r="A100" s="4">
        <v>2280</v>
      </c>
      <c r="B100" s="10">
        <v>500002</v>
      </c>
      <c r="C100" s="6" t="s">
        <v>93</v>
      </c>
      <c r="D100" s="3">
        <v>46173</v>
      </c>
      <c r="E100" s="4" t="s">
        <v>21</v>
      </c>
      <c r="F100" s="5" t="s">
        <v>22</v>
      </c>
      <c r="G100" s="33" t="s">
        <v>26</v>
      </c>
      <c r="H100" s="2">
        <v>0</v>
      </c>
      <c r="I100" s="2">
        <f>SUM(H76:H89)</f>
        <v>354253</v>
      </c>
    </row>
    <row r="101" spans="1:9" s="4" customFormat="1" ht="9.75" customHeight="1">
      <c r="A101" s="4">
        <v>2281</v>
      </c>
      <c r="B101" s="10">
        <v>500002</v>
      </c>
      <c r="C101" s="6" t="s">
        <v>94</v>
      </c>
      <c r="D101" s="3">
        <v>46173</v>
      </c>
      <c r="E101" s="4" t="s">
        <v>21</v>
      </c>
      <c r="F101" s="5" t="s">
        <v>22</v>
      </c>
      <c r="G101" s="33" t="s">
        <v>27</v>
      </c>
      <c r="H101" s="2">
        <v>0</v>
      </c>
      <c r="I101" s="2">
        <f>SUM(H90:H99)</f>
        <v>241064</v>
      </c>
    </row>
    <row r="102" spans="1:9" s="4" customFormat="1" ht="9.75" customHeight="1">
      <c r="A102" s="4">
        <v>2282</v>
      </c>
      <c r="B102" s="10">
        <v>500002</v>
      </c>
      <c r="C102" s="1" t="s">
        <v>146</v>
      </c>
      <c r="D102" s="3">
        <v>46143</v>
      </c>
      <c r="E102" s="4" t="s">
        <v>9</v>
      </c>
      <c r="F102" s="5" t="s">
        <v>10</v>
      </c>
      <c r="G102" s="7">
        <v>677254358753</v>
      </c>
      <c r="H102" s="2">
        <v>14614</v>
      </c>
      <c r="I102" s="2">
        <v>0</v>
      </c>
    </row>
    <row r="103" spans="1:9" s="4" customFormat="1" ht="9.75" customHeight="1">
      <c r="A103" s="4">
        <v>2283</v>
      </c>
      <c r="B103" s="10">
        <v>500002</v>
      </c>
      <c r="C103" s="1" t="s">
        <v>146</v>
      </c>
      <c r="D103" s="3">
        <v>46145</v>
      </c>
      <c r="E103" s="4" t="s">
        <v>9</v>
      </c>
      <c r="F103" s="5" t="s">
        <v>10</v>
      </c>
      <c r="G103" s="7">
        <v>677258136701</v>
      </c>
      <c r="H103" s="2">
        <v>17050</v>
      </c>
      <c r="I103" s="2">
        <v>0</v>
      </c>
    </row>
    <row r="104" spans="1:9" s="4" customFormat="1" ht="9.75" customHeight="1">
      <c r="A104" s="4">
        <v>2284</v>
      </c>
      <c r="B104" s="10">
        <v>500002</v>
      </c>
      <c r="C104" s="1" t="s">
        <v>146</v>
      </c>
      <c r="D104" s="3">
        <v>46145</v>
      </c>
      <c r="E104" s="4" t="s">
        <v>9</v>
      </c>
      <c r="F104" s="5" t="s">
        <v>10</v>
      </c>
      <c r="G104" s="7">
        <v>677259660485</v>
      </c>
      <c r="H104" s="2">
        <v>12178</v>
      </c>
      <c r="I104" s="2">
        <v>0</v>
      </c>
    </row>
    <row r="105" spans="1:9" s="4" customFormat="1" ht="9.75" customHeight="1">
      <c r="A105" s="4">
        <v>2285</v>
      </c>
      <c r="B105" s="10">
        <v>500002</v>
      </c>
      <c r="C105" s="1" t="s">
        <v>146</v>
      </c>
      <c r="D105" s="3">
        <v>46146</v>
      </c>
      <c r="E105" s="4" t="s">
        <v>9</v>
      </c>
      <c r="F105" s="5" t="s">
        <v>10</v>
      </c>
      <c r="G105" s="7">
        <v>677260992727</v>
      </c>
      <c r="H105" s="2">
        <v>24478</v>
      </c>
      <c r="I105" s="2">
        <v>0</v>
      </c>
    </row>
    <row r="106" spans="1:9" s="4" customFormat="1" ht="9.75" customHeight="1">
      <c r="A106" s="4">
        <v>2286</v>
      </c>
      <c r="B106" s="10">
        <v>500002</v>
      </c>
      <c r="C106" s="1" t="s">
        <v>17</v>
      </c>
      <c r="D106" s="3">
        <v>46147</v>
      </c>
      <c r="E106" s="4" t="s">
        <v>9</v>
      </c>
      <c r="F106" s="5" t="s">
        <v>10</v>
      </c>
      <c r="G106" s="7">
        <v>677263412859</v>
      </c>
      <c r="H106" s="2">
        <v>19602</v>
      </c>
      <c r="I106" s="2">
        <v>0</v>
      </c>
    </row>
    <row r="107" spans="1:9" s="4" customFormat="1" ht="9.75" customHeight="1">
      <c r="A107" s="4">
        <v>2287</v>
      </c>
      <c r="B107" s="10">
        <v>500002</v>
      </c>
      <c r="C107" s="1" t="s">
        <v>146</v>
      </c>
      <c r="D107" s="3">
        <v>46148</v>
      </c>
      <c r="E107" s="4" t="s">
        <v>9</v>
      </c>
      <c r="F107" s="5" t="s">
        <v>10</v>
      </c>
      <c r="G107" s="7">
        <v>677265264027</v>
      </c>
      <c r="H107" s="2">
        <v>39204</v>
      </c>
      <c r="I107" s="2">
        <v>0</v>
      </c>
    </row>
    <row r="108" spans="1:9" s="4" customFormat="1" ht="9.75" customHeight="1">
      <c r="A108" s="4">
        <v>2288</v>
      </c>
      <c r="B108" s="10">
        <v>500002</v>
      </c>
      <c r="C108" s="1" t="s">
        <v>146</v>
      </c>
      <c r="D108" s="3">
        <v>46150</v>
      </c>
      <c r="E108" s="4" t="s">
        <v>9</v>
      </c>
      <c r="F108" s="5" t="s">
        <v>10</v>
      </c>
      <c r="G108" s="7">
        <v>677268683818</v>
      </c>
      <c r="H108" s="2">
        <v>17496</v>
      </c>
      <c r="I108" s="2">
        <v>0</v>
      </c>
    </row>
    <row r="109" spans="1:9" s="4" customFormat="1" ht="9.75" customHeight="1">
      <c r="A109" s="4">
        <v>2289</v>
      </c>
      <c r="B109" s="10">
        <v>500002</v>
      </c>
      <c r="C109" s="1" t="s">
        <v>146</v>
      </c>
      <c r="D109" s="3">
        <v>46151</v>
      </c>
      <c r="E109" s="4" t="s">
        <v>9</v>
      </c>
      <c r="F109" s="5" t="s">
        <v>10</v>
      </c>
      <c r="G109" s="7">
        <v>677270824137</v>
      </c>
      <c r="H109" s="2">
        <v>12497</v>
      </c>
      <c r="I109" s="2">
        <v>0</v>
      </c>
    </row>
    <row r="110" spans="1:9" s="4" customFormat="1" ht="9.75" customHeight="1">
      <c r="A110" s="4">
        <v>2290</v>
      </c>
      <c r="B110" s="10">
        <v>500002</v>
      </c>
      <c r="C110" s="1" t="s">
        <v>146</v>
      </c>
      <c r="D110" s="3">
        <v>46154</v>
      </c>
      <c r="E110" s="4" t="s">
        <v>9</v>
      </c>
      <c r="F110" s="5" t="s">
        <v>10</v>
      </c>
      <c r="G110" s="8">
        <v>677277941135</v>
      </c>
      <c r="H110" s="2">
        <v>10099</v>
      </c>
      <c r="I110" s="2">
        <v>0</v>
      </c>
    </row>
    <row r="111" spans="1:9" s="4" customFormat="1" ht="9.75" customHeight="1">
      <c r="A111" s="4">
        <v>2291</v>
      </c>
      <c r="B111" s="10">
        <v>500002</v>
      </c>
      <c r="C111" s="1" t="s">
        <v>146</v>
      </c>
      <c r="D111" s="3">
        <v>46156</v>
      </c>
      <c r="E111" s="4" t="s">
        <v>9</v>
      </c>
      <c r="F111" s="5" t="s">
        <v>10</v>
      </c>
      <c r="G111" s="7">
        <v>677281328151</v>
      </c>
      <c r="H111" s="2">
        <v>84280</v>
      </c>
      <c r="I111" s="2">
        <v>0</v>
      </c>
    </row>
    <row r="112" spans="1:9" s="4" customFormat="1" ht="9.75" customHeight="1">
      <c r="A112" s="4">
        <v>2292</v>
      </c>
      <c r="B112" s="10">
        <v>500002</v>
      </c>
      <c r="C112" s="1" t="s">
        <v>146</v>
      </c>
      <c r="D112" s="3">
        <v>46160</v>
      </c>
      <c r="E112" s="4" t="s">
        <v>9</v>
      </c>
      <c r="F112" s="5" t="s">
        <v>10</v>
      </c>
      <c r="G112" s="7">
        <v>677291206293</v>
      </c>
      <c r="H112" s="2">
        <v>41215</v>
      </c>
      <c r="I112" s="2">
        <v>0</v>
      </c>
    </row>
    <row r="113" spans="1:9" s="4" customFormat="1" ht="9.75" customHeight="1">
      <c r="A113" s="4">
        <v>2293</v>
      </c>
      <c r="B113" s="10">
        <v>500002</v>
      </c>
      <c r="C113" s="1" t="s">
        <v>146</v>
      </c>
      <c r="D113" s="3">
        <v>46161</v>
      </c>
      <c r="E113" s="4" t="s">
        <v>9</v>
      </c>
      <c r="F113" s="5" t="s">
        <v>10</v>
      </c>
      <c r="G113" s="8">
        <v>677292880923</v>
      </c>
      <c r="H113" s="2">
        <v>46617</v>
      </c>
      <c r="I113" s="2">
        <v>0</v>
      </c>
    </row>
    <row r="114" spans="1:9" s="4" customFormat="1" ht="9.75" customHeight="1">
      <c r="A114" s="4">
        <v>2294</v>
      </c>
      <c r="B114" s="10">
        <v>500002</v>
      </c>
      <c r="C114" s="1" t="s">
        <v>146</v>
      </c>
      <c r="D114" s="3">
        <v>46161</v>
      </c>
      <c r="E114" s="4" t="s">
        <v>9</v>
      </c>
      <c r="F114" s="5" t="s">
        <v>10</v>
      </c>
      <c r="G114" s="7">
        <v>677293128715</v>
      </c>
      <c r="H114" s="2">
        <v>5180</v>
      </c>
      <c r="I114" s="2">
        <v>0</v>
      </c>
    </row>
    <row r="115" spans="1:9" s="4" customFormat="1" ht="9.75" customHeight="1">
      <c r="A115" s="4">
        <v>2295</v>
      </c>
      <c r="B115" s="10">
        <v>500002</v>
      </c>
      <c r="C115" s="1" t="s">
        <v>146</v>
      </c>
      <c r="D115" s="3">
        <v>46162</v>
      </c>
      <c r="E115" s="4" t="s">
        <v>9</v>
      </c>
      <c r="F115" s="5" t="s">
        <v>10</v>
      </c>
      <c r="G115" s="7">
        <v>677294158494</v>
      </c>
      <c r="H115" s="2">
        <v>15539</v>
      </c>
      <c r="I115" s="2">
        <v>0</v>
      </c>
    </row>
    <row r="116" spans="1:9" s="4" customFormat="1" ht="9.75" customHeight="1">
      <c r="A116" s="4">
        <v>2296</v>
      </c>
      <c r="B116" s="10">
        <v>500002</v>
      </c>
      <c r="C116" s="1" t="s">
        <v>146</v>
      </c>
      <c r="D116" s="3">
        <v>46164</v>
      </c>
      <c r="E116" s="4" t="s">
        <v>9</v>
      </c>
      <c r="F116" s="5" t="s">
        <v>10</v>
      </c>
      <c r="G116" s="7">
        <v>677298824775</v>
      </c>
      <c r="H116" s="2">
        <v>15539</v>
      </c>
      <c r="I116" s="2">
        <v>0</v>
      </c>
    </row>
    <row r="117" spans="1:9" s="4" customFormat="1" ht="9.75" customHeight="1">
      <c r="A117" s="4">
        <v>2297</v>
      </c>
      <c r="B117" s="10">
        <v>500002</v>
      </c>
      <c r="C117" s="1" t="s">
        <v>146</v>
      </c>
      <c r="D117" s="3">
        <v>46167</v>
      </c>
      <c r="E117" s="4" t="s">
        <v>9</v>
      </c>
      <c r="F117" s="5" t="s">
        <v>10</v>
      </c>
      <c r="G117" s="7">
        <v>677205454000</v>
      </c>
      <c r="H117" s="2">
        <v>79576</v>
      </c>
      <c r="I117" s="2">
        <v>0</v>
      </c>
    </row>
    <row r="118" spans="1:9" s="4" customFormat="1" ht="9.75" customHeight="1">
      <c r="A118" s="4">
        <v>2298</v>
      </c>
      <c r="B118" s="10">
        <v>500002</v>
      </c>
      <c r="C118" s="1" t="s">
        <v>146</v>
      </c>
      <c r="D118" s="3">
        <v>46167</v>
      </c>
      <c r="E118" s="4" t="s">
        <v>9</v>
      </c>
      <c r="F118" s="5" t="s">
        <v>10</v>
      </c>
      <c r="G118" s="7">
        <v>677206136298</v>
      </c>
      <c r="H118" s="2">
        <v>10080</v>
      </c>
      <c r="I118" s="2">
        <v>0</v>
      </c>
    </row>
    <row r="119" spans="1:9" s="4" customFormat="1" ht="9.75" customHeight="1">
      <c r="A119" s="4">
        <v>2299</v>
      </c>
      <c r="B119" s="10">
        <v>500002</v>
      </c>
      <c r="C119" s="1" t="s">
        <v>146</v>
      </c>
      <c r="D119" s="3">
        <v>46168</v>
      </c>
      <c r="E119" s="4" t="s">
        <v>9</v>
      </c>
      <c r="F119" s="5" t="s">
        <v>10</v>
      </c>
      <c r="G119" s="7">
        <v>677206861790</v>
      </c>
      <c r="H119" s="2">
        <v>16062</v>
      </c>
      <c r="I119" s="2">
        <v>0</v>
      </c>
    </row>
    <row r="120" spans="1:9" s="4" customFormat="1" ht="9.75" customHeight="1">
      <c r="A120" s="4">
        <v>2300</v>
      </c>
      <c r="B120" s="10">
        <v>500002</v>
      </c>
      <c r="C120" s="1" t="s">
        <v>146</v>
      </c>
      <c r="D120" s="3">
        <v>46169</v>
      </c>
      <c r="E120" s="4" t="s">
        <v>9</v>
      </c>
      <c r="F120" s="5" t="s">
        <v>10</v>
      </c>
      <c r="G120" s="7">
        <v>677209613643</v>
      </c>
      <c r="H120" s="2">
        <v>16742</v>
      </c>
      <c r="I120" s="2">
        <v>0</v>
      </c>
    </row>
    <row r="121" spans="1:9" s="4" customFormat="1" ht="9.75" customHeight="1">
      <c r="A121" s="4">
        <v>2301</v>
      </c>
      <c r="B121" s="10">
        <v>500002</v>
      </c>
      <c r="C121" s="1" t="s">
        <v>146</v>
      </c>
      <c r="D121" s="3">
        <v>46169</v>
      </c>
      <c r="E121" s="4" t="s">
        <v>9</v>
      </c>
      <c r="F121" s="5" t="s">
        <v>10</v>
      </c>
      <c r="G121" s="7">
        <v>677210326385</v>
      </c>
      <c r="H121" s="2">
        <v>16202</v>
      </c>
      <c r="I121" s="2">
        <v>0</v>
      </c>
    </row>
    <row r="122" spans="1:9" s="4" customFormat="1" ht="9.75" customHeight="1">
      <c r="A122" s="4">
        <v>2302</v>
      </c>
      <c r="B122" s="10">
        <v>500002</v>
      </c>
      <c r="C122" s="1" t="s">
        <v>146</v>
      </c>
      <c r="D122" s="3">
        <v>46170</v>
      </c>
      <c r="E122" s="4" t="s">
        <v>9</v>
      </c>
      <c r="F122" s="5" t="s">
        <v>10</v>
      </c>
      <c r="G122" s="7">
        <v>677212095629</v>
      </c>
      <c r="H122" s="2">
        <v>10892</v>
      </c>
      <c r="I122" s="2">
        <v>0</v>
      </c>
    </row>
    <row r="123" spans="1:9" s="4" customFormat="1" ht="9.75" customHeight="1">
      <c r="A123" s="4">
        <v>2303</v>
      </c>
      <c r="B123" s="10">
        <v>500002</v>
      </c>
      <c r="C123" s="1" t="s">
        <v>146</v>
      </c>
      <c r="D123" s="3">
        <v>46171</v>
      </c>
      <c r="E123" s="4" t="s">
        <v>9</v>
      </c>
      <c r="F123" s="5" t="s">
        <v>10</v>
      </c>
      <c r="G123" s="7">
        <v>677213091554</v>
      </c>
      <c r="H123" s="2">
        <v>21975</v>
      </c>
      <c r="I123" s="2">
        <v>0</v>
      </c>
    </row>
    <row r="124" spans="1:9" s="4" customFormat="1" ht="9.75" customHeight="1">
      <c r="A124" s="4">
        <v>2304</v>
      </c>
      <c r="B124" s="10">
        <v>500002</v>
      </c>
      <c r="C124" s="1" t="s">
        <v>146</v>
      </c>
      <c r="D124" s="3">
        <v>46172</v>
      </c>
      <c r="E124" s="4" t="s">
        <v>9</v>
      </c>
      <c r="F124" s="5" t="s">
        <v>10</v>
      </c>
      <c r="G124" s="7">
        <v>677216553185</v>
      </c>
      <c r="H124" s="2">
        <v>38457</v>
      </c>
      <c r="I124" s="2">
        <v>0</v>
      </c>
    </row>
    <row r="125" spans="1:9" s="4" customFormat="1" ht="9.75" customHeight="1">
      <c r="A125" s="4">
        <v>2305</v>
      </c>
      <c r="B125" s="10">
        <v>500002</v>
      </c>
      <c r="C125" s="6" t="s">
        <v>90</v>
      </c>
      <c r="D125" s="3">
        <v>46173</v>
      </c>
      <c r="E125" s="4" t="s">
        <v>23</v>
      </c>
      <c r="F125" s="5" t="s">
        <v>35</v>
      </c>
      <c r="G125" s="33" t="s">
        <v>26</v>
      </c>
      <c r="H125" s="9">
        <v>0</v>
      </c>
      <c r="I125" s="2">
        <v>14614</v>
      </c>
    </row>
    <row r="126" spans="1:9" s="4" customFormat="1" ht="9.75" customHeight="1">
      <c r="A126" s="4">
        <v>2306</v>
      </c>
      <c r="B126" s="10">
        <v>500002</v>
      </c>
      <c r="C126" s="6" t="s">
        <v>90</v>
      </c>
      <c r="D126" s="3">
        <v>46173</v>
      </c>
      <c r="E126" s="4" t="s">
        <v>23</v>
      </c>
      <c r="F126" s="5" t="s">
        <v>35</v>
      </c>
      <c r="G126" s="33" t="s">
        <v>26</v>
      </c>
      <c r="H126" s="9">
        <v>0</v>
      </c>
      <c r="I126" s="2">
        <v>17050</v>
      </c>
    </row>
    <row r="127" spans="1:9" s="4" customFormat="1" ht="9.75" customHeight="1">
      <c r="A127" s="4">
        <v>2307</v>
      </c>
      <c r="B127" s="10">
        <v>500002</v>
      </c>
      <c r="C127" s="6" t="s">
        <v>90</v>
      </c>
      <c r="D127" s="3">
        <v>46173</v>
      </c>
      <c r="E127" s="4" t="s">
        <v>23</v>
      </c>
      <c r="F127" s="5" t="s">
        <v>35</v>
      </c>
      <c r="G127" s="33" t="s">
        <v>26</v>
      </c>
      <c r="H127" s="9">
        <v>0</v>
      </c>
      <c r="I127" s="2">
        <v>12178</v>
      </c>
    </row>
    <row r="128" spans="1:9" s="4" customFormat="1" ht="9.75" customHeight="1">
      <c r="A128" s="4">
        <v>2308</v>
      </c>
      <c r="B128" s="10">
        <v>500002</v>
      </c>
      <c r="C128" s="6" t="s">
        <v>90</v>
      </c>
      <c r="D128" s="3">
        <v>46173</v>
      </c>
      <c r="E128" s="4" t="s">
        <v>23</v>
      </c>
      <c r="F128" s="5" t="s">
        <v>35</v>
      </c>
      <c r="G128" s="33" t="s">
        <v>26</v>
      </c>
      <c r="H128" s="9">
        <v>0</v>
      </c>
      <c r="I128" s="2">
        <v>24478</v>
      </c>
    </row>
    <row r="129" spans="1:9" s="4" customFormat="1" ht="9.75" customHeight="1">
      <c r="A129" s="4">
        <v>2309</v>
      </c>
      <c r="B129" s="10">
        <v>500002</v>
      </c>
      <c r="C129" s="6" t="s">
        <v>90</v>
      </c>
      <c r="D129" s="3">
        <v>46173</v>
      </c>
      <c r="E129" s="4" t="s">
        <v>23</v>
      </c>
      <c r="F129" s="5" t="s">
        <v>35</v>
      </c>
      <c r="G129" s="33" t="s">
        <v>26</v>
      </c>
      <c r="H129" s="9">
        <v>0</v>
      </c>
      <c r="I129" s="2">
        <v>19602</v>
      </c>
    </row>
    <row r="130" spans="1:9" s="4" customFormat="1" ht="9.75" customHeight="1">
      <c r="A130" s="4">
        <v>2310</v>
      </c>
      <c r="B130" s="10">
        <v>500002</v>
      </c>
      <c r="C130" s="6" t="s">
        <v>90</v>
      </c>
      <c r="D130" s="3">
        <v>46173</v>
      </c>
      <c r="E130" s="4" t="s">
        <v>23</v>
      </c>
      <c r="F130" s="5" t="s">
        <v>35</v>
      </c>
      <c r="G130" s="33" t="s">
        <v>26</v>
      </c>
      <c r="H130" s="9">
        <v>0</v>
      </c>
      <c r="I130" s="2">
        <v>39204</v>
      </c>
    </row>
    <row r="131" spans="1:9" s="4" customFormat="1" ht="9.75" customHeight="1">
      <c r="A131" s="4">
        <v>2311</v>
      </c>
      <c r="B131" s="10">
        <v>500002</v>
      </c>
      <c r="C131" s="6" t="s">
        <v>90</v>
      </c>
      <c r="D131" s="3">
        <v>46173</v>
      </c>
      <c r="E131" s="4" t="s">
        <v>23</v>
      </c>
      <c r="F131" s="5" t="s">
        <v>35</v>
      </c>
      <c r="G131" s="33" t="s">
        <v>26</v>
      </c>
      <c r="H131" s="9">
        <v>0</v>
      </c>
      <c r="I131" s="2">
        <v>17496</v>
      </c>
    </row>
    <row r="132" spans="1:9" s="4" customFormat="1" ht="9.75" customHeight="1">
      <c r="A132" s="4">
        <v>2312</v>
      </c>
      <c r="B132" s="10">
        <v>500002</v>
      </c>
      <c r="C132" s="6" t="s">
        <v>90</v>
      </c>
      <c r="D132" s="3">
        <v>46173</v>
      </c>
      <c r="E132" s="4" t="s">
        <v>23</v>
      </c>
      <c r="F132" s="5" t="s">
        <v>35</v>
      </c>
      <c r="G132" s="33" t="s">
        <v>26</v>
      </c>
      <c r="H132" s="9">
        <v>0</v>
      </c>
      <c r="I132" s="2">
        <v>12497</v>
      </c>
    </row>
    <row r="133" spans="1:9" s="4" customFormat="1" ht="9.75" customHeight="1">
      <c r="A133" s="4">
        <v>2313</v>
      </c>
      <c r="B133" s="10">
        <v>500002</v>
      </c>
      <c r="C133" s="6" t="s">
        <v>90</v>
      </c>
      <c r="D133" s="3">
        <v>46173</v>
      </c>
      <c r="E133" s="4" t="s">
        <v>23</v>
      </c>
      <c r="F133" s="5" t="s">
        <v>35</v>
      </c>
      <c r="G133" s="33" t="s">
        <v>26</v>
      </c>
      <c r="H133" s="9">
        <v>0</v>
      </c>
      <c r="I133" s="2">
        <v>10099</v>
      </c>
    </row>
    <row r="134" spans="1:9" s="4" customFormat="1" ht="9.75" customHeight="1">
      <c r="A134" s="4">
        <v>2314</v>
      </c>
      <c r="B134" s="10">
        <v>500002</v>
      </c>
      <c r="C134" s="6" t="s">
        <v>90</v>
      </c>
      <c r="D134" s="3">
        <v>46173</v>
      </c>
      <c r="E134" s="4" t="s">
        <v>23</v>
      </c>
      <c r="F134" s="5" t="s">
        <v>35</v>
      </c>
      <c r="G134" s="33" t="s">
        <v>26</v>
      </c>
      <c r="H134" s="9">
        <v>0</v>
      </c>
      <c r="I134" s="2">
        <v>84280</v>
      </c>
    </row>
    <row r="135" spans="1:9" s="4" customFormat="1" ht="9.75" customHeight="1">
      <c r="A135" s="4">
        <v>2315</v>
      </c>
      <c r="B135" s="10">
        <v>500002</v>
      </c>
      <c r="C135" s="6" t="s">
        <v>90</v>
      </c>
      <c r="D135" s="3">
        <v>46173</v>
      </c>
      <c r="E135" s="4" t="s">
        <v>23</v>
      </c>
      <c r="F135" s="5" t="s">
        <v>35</v>
      </c>
      <c r="G135" s="33" t="s">
        <v>26</v>
      </c>
      <c r="H135" s="9">
        <v>0</v>
      </c>
      <c r="I135" s="2">
        <v>41215</v>
      </c>
    </row>
    <row r="136" spans="1:9" s="4" customFormat="1" ht="9.75" customHeight="1">
      <c r="A136" s="4">
        <v>2316</v>
      </c>
      <c r="B136" s="10">
        <v>500002</v>
      </c>
      <c r="C136" s="6" t="s">
        <v>90</v>
      </c>
      <c r="D136" s="3">
        <v>46173</v>
      </c>
      <c r="E136" s="4" t="s">
        <v>23</v>
      </c>
      <c r="F136" s="5" t="s">
        <v>35</v>
      </c>
      <c r="G136" s="33" t="s">
        <v>26</v>
      </c>
      <c r="H136" s="9">
        <v>0</v>
      </c>
      <c r="I136" s="2">
        <v>46617</v>
      </c>
    </row>
    <row r="137" spans="1:9" s="4" customFormat="1" ht="9.75" customHeight="1">
      <c r="A137" s="4">
        <v>2317</v>
      </c>
      <c r="B137" s="10">
        <v>500002</v>
      </c>
      <c r="C137" s="6" t="s">
        <v>90</v>
      </c>
      <c r="D137" s="3">
        <v>46173</v>
      </c>
      <c r="E137" s="4" t="s">
        <v>23</v>
      </c>
      <c r="F137" s="5" t="s">
        <v>35</v>
      </c>
      <c r="G137" s="33" t="s">
        <v>26</v>
      </c>
      <c r="H137" s="9">
        <v>0</v>
      </c>
      <c r="I137" s="2">
        <v>5180</v>
      </c>
    </row>
    <row r="138" spans="1:9" s="4" customFormat="1" ht="9.75" customHeight="1">
      <c r="A138" s="4">
        <v>2318</v>
      </c>
      <c r="B138" s="10">
        <v>500002</v>
      </c>
      <c r="C138" s="6" t="s">
        <v>91</v>
      </c>
      <c r="D138" s="3">
        <v>46173</v>
      </c>
      <c r="E138" s="4" t="s">
        <v>23</v>
      </c>
      <c r="F138" s="5" t="s">
        <v>35</v>
      </c>
      <c r="G138" s="33" t="s">
        <v>27</v>
      </c>
      <c r="H138" s="9">
        <v>0</v>
      </c>
      <c r="I138" s="2">
        <v>15539</v>
      </c>
    </row>
    <row r="139" spans="1:9" s="4" customFormat="1" ht="9.75" customHeight="1">
      <c r="A139" s="4">
        <v>2319</v>
      </c>
      <c r="B139" s="10">
        <v>500002</v>
      </c>
      <c r="C139" s="6" t="s">
        <v>91</v>
      </c>
      <c r="D139" s="3">
        <v>46173</v>
      </c>
      <c r="E139" s="4" t="s">
        <v>23</v>
      </c>
      <c r="F139" s="5" t="s">
        <v>35</v>
      </c>
      <c r="G139" s="33" t="s">
        <v>27</v>
      </c>
      <c r="H139" s="9">
        <v>0</v>
      </c>
      <c r="I139" s="2">
        <v>15539</v>
      </c>
    </row>
    <row r="140" spans="1:9" s="4" customFormat="1" ht="9.75" customHeight="1">
      <c r="A140" s="4">
        <v>2320</v>
      </c>
      <c r="B140" s="10">
        <v>500002</v>
      </c>
      <c r="C140" s="6" t="s">
        <v>91</v>
      </c>
      <c r="D140" s="3">
        <v>46173</v>
      </c>
      <c r="E140" s="4" t="s">
        <v>23</v>
      </c>
      <c r="F140" s="5" t="s">
        <v>35</v>
      </c>
      <c r="G140" s="33" t="s">
        <v>27</v>
      </c>
      <c r="H140" s="9">
        <v>0</v>
      </c>
      <c r="I140" s="2">
        <v>79576</v>
      </c>
    </row>
    <row r="141" spans="1:9" s="4" customFormat="1" ht="9.75" customHeight="1">
      <c r="A141" s="4">
        <v>2321</v>
      </c>
      <c r="B141" s="10">
        <v>500002</v>
      </c>
      <c r="C141" s="6" t="s">
        <v>91</v>
      </c>
      <c r="D141" s="3">
        <v>46173</v>
      </c>
      <c r="E141" s="4" t="s">
        <v>23</v>
      </c>
      <c r="F141" s="5" t="s">
        <v>35</v>
      </c>
      <c r="G141" s="33" t="s">
        <v>27</v>
      </c>
      <c r="H141" s="9">
        <v>0</v>
      </c>
      <c r="I141" s="2">
        <v>10080</v>
      </c>
    </row>
    <row r="142" spans="1:9" s="4" customFormat="1" ht="9.75" customHeight="1">
      <c r="A142" s="4">
        <v>2322</v>
      </c>
      <c r="B142" s="10">
        <v>500002</v>
      </c>
      <c r="C142" s="6" t="s">
        <v>91</v>
      </c>
      <c r="D142" s="3">
        <v>46173</v>
      </c>
      <c r="E142" s="4" t="s">
        <v>23</v>
      </c>
      <c r="F142" s="5" t="s">
        <v>35</v>
      </c>
      <c r="G142" s="33" t="s">
        <v>27</v>
      </c>
      <c r="H142" s="9">
        <v>0</v>
      </c>
      <c r="I142" s="2">
        <v>16062</v>
      </c>
    </row>
    <row r="143" spans="1:9" s="4" customFormat="1" ht="9.75" customHeight="1">
      <c r="A143" s="4">
        <v>2323</v>
      </c>
      <c r="B143" s="10">
        <v>500002</v>
      </c>
      <c r="C143" s="6" t="s">
        <v>91</v>
      </c>
      <c r="D143" s="3">
        <v>46173</v>
      </c>
      <c r="E143" s="4" t="s">
        <v>23</v>
      </c>
      <c r="F143" s="5" t="s">
        <v>35</v>
      </c>
      <c r="G143" s="33" t="s">
        <v>27</v>
      </c>
      <c r="H143" s="9">
        <v>0</v>
      </c>
      <c r="I143" s="2">
        <v>16742</v>
      </c>
    </row>
    <row r="144" spans="1:9" s="4" customFormat="1" ht="9.75" customHeight="1">
      <c r="A144" s="4">
        <v>2324</v>
      </c>
      <c r="B144" s="10">
        <v>500002</v>
      </c>
      <c r="C144" s="6" t="s">
        <v>91</v>
      </c>
      <c r="D144" s="3">
        <v>46173</v>
      </c>
      <c r="E144" s="4" t="s">
        <v>23</v>
      </c>
      <c r="F144" s="5" t="s">
        <v>35</v>
      </c>
      <c r="G144" s="33" t="s">
        <v>27</v>
      </c>
      <c r="H144" s="9">
        <v>0</v>
      </c>
      <c r="I144" s="2">
        <v>16202</v>
      </c>
    </row>
    <row r="145" spans="1:9" s="4" customFormat="1" ht="9.75" customHeight="1">
      <c r="A145" s="4">
        <v>2325</v>
      </c>
      <c r="B145" s="10">
        <v>500002</v>
      </c>
      <c r="C145" s="6" t="s">
        <v>91</v>
      </c>
      <c r="D145" s="3">
        <v>46173</v>
      </c>
      <c r="E145" s="4" t="s">
        <v>23</v>
      </c>
      <c r="F145" s="5" t="s">
        <v>35</v>
      </c>
      <c r="G145" s="33" t="s">
        <v>27</v>
      </c>
      <c r="H145" s="9">
        <v>0</v>
      </c>
      <c r="I145" s="2">
        <v>10892</v>
      </c>
    </row>
    <row r="146" spans="1:9" s="4" customFormat="1" ht="9.75" customHeight="1">
      <c r="A146" s="4">
        <v>2326</v>
      </c>
      <c r="B146" s="10">
        <v>500002</v>
      </c>
      <c r="C146" s="6" t="s">
        <v>91</v>
      </c>
      <c r="D146" s="3">
        <v>46173</v>
      </c>
      <c r="E146" s="4" t="s">
        <v>23</v>
      </c>
      <c r="F146" s="5" t="s">
        <v>35</v>
      </c>
      <c r="G146" s="33" t="s">
        <v>27</v>
      </c>
      <c r="H146" s="9">
        <v>0</v>
      </c>
      <c r="I146" s="2">
        <v>21975</v>
      </c>
    </row>
    <row r="147" spans="1:9" s="4" customFormat="1" ht="9.75" customHeight="1">
      <c r="A147" s="4">
        <v>2327</v>
      </c>
      <c r="B147" s="10">
        <v>500002</v>
      </c>
      <c r="C147" s="6" t="s">
        <v>91</v>
      </c>
      <c r="D147" s="3">
        <v>46173</v>
      </c>
      <c r="E147" s="4" t="s">
        <v>23</v>
      </c>
      <c r="F147" s="5" t="s">
        <v>35</v>
      </c>
      <c r="G147" s="33" t="s">
        <v>27</v>
      </c>
      <c r="H147" s="9">
        <v>0</v>
      </c>
      <c r="I147" s="2">
        <v>38457</v>
      </c>
    </row>
    <row r="148" spans="1:9" s="4" customFormat="1" ht="9.75" customHeight="1">
      <c r="A148" s="4">
        <v>2328</v>
      </c>
      <c r="B148" s="10">
        <v>500002</v>
      </c>
      <c r="C148" s="1" t="s">
        <v>92</v>
      </c>
      <c r="D148" s="3">
        <v>46173</v>
      </c>
      <c r="E148" s="4" t="s">
        <v>86</v>
      </c>
      <c r="F148" s="5" t="s">
        <v>87</v>
      </c>
      <c r="G148" s="33" t="s">
        <v>26</v>
      </c>
      <c r="H148" s="2">
        <v>9743</v>
      </c>
      <c r="I148" s="2">
        <v>0</v>
      </c>
    </row>
    <row r="149" spans="1:9" s="4" customFormat="1" ht="9.75" customHeight="1">
      <c r="A149" s="4">
        <v>2329</v>
      </c>
      <c r="B149" s="10">
        <v>500002</v>
      </c>
      <c r="C149" s="1" t="s">
        <v>92</v>
      </c>
      <c r="D149" s="3">
        <v>46173</v>
      </c>
      <c r="E149" s="4" t="s">
        <v>23</v>
      </c>
      <c r="F149" s="5" t="s">
        <v>35</v>
      </c>
      <c r="G149" s="33" t="s">
        <v>26</v>
      </c>
      <c r="H149" s="9">
        <v>0</v>
      </c>
      <c r="I149" s="2">
        <v>9743</v>
      </c>
    </row>
    <row r="150" spans="1:9" s="4" customFormat="1" ht="9.75" customHeight="1">
      <c r="A150" s="4">
        <v>2330</v>
      </c>
      <c r="B150" s="10">
        <v>500003</v>
      </c>
      <c r="C150" s="1" t="s">
        <v>78</v>
      </c>
      <c r="D150" s="3">
        <v>46173</v>
      </c>
      <c r="E150" s="4" t="s">
        <v>77</v>
      </c>
      <c r="F150" s="5" t="s">
        <v>36</v>
      </c>
      <c r="G150" s="33" t="s">
        <v>28</v>
      </c>
      <c r="H150" s="2">
        <v>58746</v>
      </c>
      <c r="I150" s="2">
        <v>0</v>
      </c>
    </row>
    <row r="151" spans="1:9" s="4" customFormat="1" ht="9.75" customHeight="1">
      <c r="A151" s="4">
        <v>2331</v>
      </c>
      <c r="B151" s="10">
        <v>500003</v>
      </c>
      <c r="C151" s="1" t="s">
        <v>78</v>
      </c>
      <c r="D151" s="3">
        <v>46173</v>
      </c>
      <c r="E151" s="4" t="s">
        <v>77</v>
      </c>
      <c r="F151" s="5" t="s">
        <v>36</v>
      </c>
      <c r="G151" s="33" t="s">
        <v>28</v>
      </c>
      <c r="H151" s="2">
        <v>29603</v>
      </c>
      <c r="I151" s="2">
        <v>0</v>
      </c>
    </row>
    <row r="152" spans="1:9" s="4" customFormat="1" ht="9.75" customHeight="1">
      <c r="A152" s="4">
        <v>2332</v>
      </c>
      <c r="B152" s="10">
        <v>500003</v>
      </c>
      <c r="C152" s="1" t="s">
        <v>78</v>
      </c>
      <c r="D152" s="3">
        <v>46173</v>
      </c>
      <c r="E152" s="4" t="s">
        <v>77</v>
      </c>
      <c r="F152" s="5" t="s">
        <v>36</v>
      </c>
      <c r="G152" s="33" t="s">
        <v>28</v>
      </c>
      <c r="H152" s="2">
        <v>44987.4</v>
      </c>
      <c r="I152" s="2">
        <v>0</v>
      </c>
    </row>
    <row r="153" spans="1:9" s="4" customFormat="1" ht="9.75" customHeight="1">
      <c r="A153" s="4">
        <v>2333</v>
      </c>
      <c r="B153" s="10">
        <v>500003</v>
      </c>
      <c r="C153" s="1" t="s">
        <v>78</v>
      </c>
      <c r="D153" s="3">
        <v>46173</v>
      </c>
      <c r="E153" s="4" t="s">
        <v>77</v>
      </c>
      <c r="F153" s="5" t="s">
        <v>36</v>
      </c>
      <c r="G153" s="33" t="s">
        <v>28</v>
      </c>
      <c r="H153" s="2">
        <v>29991.599999999999</v>
      </c>
      <c r="I153" s="2">
        <v>0</v>
      </c>
    </row>
    <row r="154" spans="1:9" s="4" customFormat="1" ht="9.75" customHeight="1">
      <c r="A154" s="4">
        <v>2334</v>
      </c>
      <c r="B154" s="10">
        <v>500003</v>
      </c>
      <c r="C154" s="1" t="s">
        <v>78</v>
      </c>
      <c r="D154" s="3">
        <v>46173</v>
      </c>
      <c r="E154" s="4" t="s">
        <v>77</v>
      </c>
      <c r="F154" s="5" t="s">
        <v>36</v>
      </c>
      <c r="G154" s="33" t="s">
        <v>28</v>
      </c>
      <c r="H154" s="2">
        <v>30910.799999999999</v>
      </c>
      <c r="I154" s="2">
        <v>0</v>
      </c>
    </row>
    <row r="155" spans="1:9" s="4" customFormat="1" ht="9.75" customHeight="1">
      <c r="A155" s="4">
        <v>2335</v>
      </c>
      <c r="B155" s="10">
        <v>500003</v>
      </c>
      <c r="C155" s="1" t="s">
        <v>78</v>
      </c>
      <c r="D155" s="3">
        <v>46173</v>
      </c>
      <c r="E155" s="4" t="s">
        <v>77</v>
      </c>
      <c r="F155" s="5" t="s">
        <v>36</v>
      </c>
      <c r="G155" s="33" t="s">
        <v>28</v>
      </c>
      <c r="H155" s="2">
        <v>31975</v>
      </c>
      <c r="I155" s="2">
        <v>0</v>
      </c>
    </row>
    <row r="156" spans="1:9" s="4" customFormat="1" ht="9.75" customHeight="1">
      <c r="A156" s="4">
        <v>2336</v>
      </c>
      <c r="B156" s="10">
        <v>500003</v>
      </c>
      <c r="C156" s="1" t="s">
        <v>78</v>
      </c>
      <c r="D156" s="3">
        <v>46173</v>
      </c>
      <c r="E156" s="4" t="s">
        <v>77</v>
      </c>
      <c r="F156" s="5" t="s">
        <v>36</v>
      </c>
      <c r="G156" s="33" t="s">
        <v>28</v>
      </c>
      <c r="H156" s="2">
        <v>68164.5</v>
      </c>
      <c r="I156" s="2">
        <v>0</v>
      </c>
    </row>
    <row r="157" spans="1:9" s="4" customFormat="1" ht="9.75" customHeight="1">
      <c r="A157" s="4">
        <v>2337</v>
      </c>
      <c r="B157" s="10">
        <v>500003</v>
      </c>
      <c r="C157" s="1" t="s">
        <v>78</v>
      </c>
      <c r="D157" s="3">
        <v>46173</v>
      </c>
      <c r="E157" s="4" t="s">
        <v>77</v>
      </c>
      <c r="F157" s="5" t="s">
        <v>36</v>
      </c>
      <c r="G157" s="33" t="s">
        <v>28</v>
      </c>
      <c r="H157" s="2">
        <v>33265.800000000003</v>
      </c>
      <c r="I157" s="2">
        <v>0</v>
      </c>
    </row>
    <row r="158" spans="1:9" s="4" customFormat="1" ht="9.75" customHeight="1">
      <c r="A158" s="4">
        <v>2338</v>
      </c>
      <c r="B158" s="10">
        <v>500003</v>
      </c>
      <c r="C158" s="1" t="s">
        <v>79</v>
      </c>
      <c r="D158" s="3">
        <v>46173</v>
      </c>
      <c r="E158" s="4" t="s">
        <v>21</v>
      </c>
      <c r="F158" s="5" t="s">
        <v>22</v>
      </c>
      <c r="G158" s="33" t="s">
        <v>29</v>
      </c>
      <c r="H158" s="2">
        <v>0</v>
      </c>
      <c r="I158" s="2">
        <f>SUM(H150:H158)</f>
        <v>327644.09999999998</v>
      </c>
    </row>
    <row r="159" spans="1:9" s="4" customFormat="1" ht="9.75" customHeight="1">
      <c r="A159" s="4">
        <v>2339</v>
      </c>
      <c r="B159" s="10">
        <v>500003</v>
      </c>
      <c r="C159" s="1" t="s">
        <v>12</v>
      </c>
      <c r="D159" s="3">
        <v>46146</v>
      </c>
      <c r="E159" s="4" t="s">
        <v>9</v>
      </c>
      <c r="F159" s="5" t="s">
        <v>10</v>
      </c>
      <c r="G159" s="34">
        <v>50957458007</v>
      </c>
      <c r="H159" s="2">
        <v>58746</v>
      </c>
      <c r="I159" s="9">
        <v>0</v>
      </c>
    </row>
    <row r="160" spans="1:9" s="4" customFormat="1" ht="9.75" customHeight="1">
      <c r="A160" s="4">
        <v>2340</v>
      </c>
      <c r="B160" s="10">
        <v>500003</v>
      </c>
      <c r="C160" s="1" t="s">
        <v>12</v>
      </c>
      <c r="D160" s="3">
        <v>46148</v>
      </c>
      <c r="E160" s="4" t="s">
        <v>9</v>
      </c>
      <c r="F160" s="5" t="s">
        <v>10</v>
      </c>
      <c r="G160" s="34">
        <v>677203766595</v>
      </c>
      <c r="H160" s="2">
        <v>29603</v>
      </c>
      <c r="I160" s="9">
        <v>0</v>
      </c>
    </row>
    <row r="161" spans="1:9" s="4" customFormat="1" ht="9.75" customHeight="1">
      <c r="A161" s="4">
        <v>2341</v>
      </c>
      <c r="B161" s="10">
        <v>500003</v>
      </c>
      <c r="C161" s="1" t="s">
        <v>12</v>
      </c>
      <c r="D161" s="3">
        <v>46150</v>
      </c>
      <c r="E161" s="4" t="s">
        <v>9</v>
      </c>
      <c r="F161" s="5" t="s">
        <v>10</v>
      </c>
      <c r="G161" s="34">
        <v>50985876900</v>
      </c>
      <c r="H161" s="2">
        <v>44987.4</v>
      </c>
      <c r="I161" s="9">
        <v>0</v>
      </c>
    </row>
    <row r="162" spans="1:9" s="4" customFormat="1" ht="9.75" customHeight="1">
      <c r="A162" s="4">
        <v>2342</v>
      </c>
      <c r="B162" s="10">
        <v>500003</v>
      </c>
      <c r="C162" s="1" t="s">
        <v>12</v>
      </c>
      <c r="D162" s="3">
        <v>46150</v>
      </c>
      <c r="E162" s="4" t="s">
        <v>9</v>
      </c>
      <c r="F162" s="5" t="s">
        <v>10</v>
      </c>
      <c r="G162" s="34">
        <v>677208413867</v>
      </c>
      <c r="H162" s="2">
        <v>29991.599999999999</v>
      </c>
      <c r="I162" s="9">
        <v>0</v>
      </c>
    </row>
    <row r="163" spans="1:9" s="4" customFormat="1" ht="9.75" customHeight="1">
      <c r="A163" s="4">
        <v>2343</v>
      </c>
      <c r="B163" s="10">
        <v>500003</v>
      </c>
      <c r="C163" s="1" t="s">
        <v>12</v>
      </c>
      <c r="D163" s="3">
        <v>46157</v>
      </c>
      <c r="E163" s="4" t="s">
        <v>9</v>
      </c>
      <c r="F163" s="5" t="s">
        <v>10</v>
      </c>
      <c r="G163" s="34">
        <v>50927345060</v>
      </c>
      <c r="H163" s="2">
        <v>30910.799999999999</v>
      </c>
      <c r="I163" s="9">
        <v>0</v>
      </c>
    </row>
    <row r="164" spans="1:9" s="4" customFormat="1" ht="9.75" customHeight="1">
      <c r="A164" s="4">
        <v>2344</v>
      </c>
      <c r="B164" s="10">
        <v>500003</v>
      </c>
      <c r="C164" s="1" t="s">
        <v>12</v>
      </c>
      <c r="D164" s="3">
        <v>46171</v>
      </c>
      <c r="E164" s="4" t="s">
        <v>9</v>
      </c>
      <c r="F164" s="5" t="s">
        <v>10</v>
      </c>
      <c r="G164" s="34">
        <v>677231399144</v>
      </c>
      <c r="H164" s="2">
        <v>31975</v>
      </c>
      <c r="I164" s="9">
        <v>0</v>
      </c>
    </row>
    <row r="165" spans="1:9" s="4" customFormat="1" ht="9.75" customHeight="1">
      <c r="A165" s="4">
        <v>2345</v>
      </c>
      <c r="B165" s="10">
        <v>500003</v>
      </c>
      <c r="C165" s="1" t="s">
        <v>12</v>
      </c>
      <c r="D165" s="3">
        <v>46172</v>
      </c>
      <c r="E165" s="4" t="s">
        <v>9</v>
      </c>
      <c r="F165" s="5" t="s">
        <v>10</v>
      </c>
      <c r="G165" s="34">
        <v>50952438004</v>
      </c>
      <c r="H165" s="2">
        <v>68164.5</v>
      </c>
      <c r="I165" s="9">
        <v>0</v>
      </c>
    </row>
    <row r="166" spans="1:9" s="4" customFormat="1" ht="9.75" customHeight="1">
      <c r="A166" s="4">
        <v>2346</v>
      </c>
      <c r="B166" s="10">
        <v>500003</v>
      </c>
      <c r="C166" s="1" t="s">
        <v>12</v>
      </c>
      <c r="D166" s="3">
        <v>46173</v>
      </c>
      <c r="E166" s="4" t="s">
        <v>9</v>
      </c>
      <c r="F166" s="5" t="s">
        <v>10</v>
      </c>
      <c r="G166" s="34">
        <v>677237555030</v>
      </c>
      <c r="H166" s="2">
        <v>33265.800000000003</v>
      </c>
      <c r="I166" s="9">
        <v>0</v>
      </c>
    </row>
    <row r="167" spans="1:9" s="4" customFormat="1" ht="9.75" customHeight="1">
      <c r="A167" s="4">
        <v>2347</v>
      </c>
      <c r="B167" s="10">
        <v>500003</v>
      </c>
      <c r="C167" s="1" t="s">
        <v>80</v>
      </c>
      <c r="D167" s="3">
        <v>46146</v>
      </c>
      <c r="E167" s="4" t="s">
        <v>77</v>
      </c>
      <c r="F167" s="5" t="s">
        <v>36</v>
      </c>
      <c r="G167" s="33" t="s">
        <v>28</v>
      </c>
      <c r="H167" s="2">
        <v>0</v>
      </c>
      <c r="I167" s="2">
        <v>58746</v>
      </c>
    </row>
    <row r="168" spans="1:9" s="4" customFormat="1" ht="9.75" customHeight="1">
      <c r="A168" s="4">
        <v>2348</v>
      </c>
      <c r="B168" s="10">
        <v>500003</v>
      </c>
      <c r="C168" s="1" t="s">
        <v>80</v>
      </c>
      <c r="D168" s="3">
        <v>46148</v>
      </c>
      <c r="E168" s="4" t="s">
        <v>77</v>
      </c>
      <c r="F168" s="5" t="s">
        <v>36</v>
      </c>
      <c r="G168" s="33" t="s">
        <v>28</v>
      </c>
      <c r="H168" s="2">
        <v>0</v>
      </c>
      <c r="I168" s="2">
        <v>29603</v>
      </c>
    </row>
    <row r="169" spans="1:9" s="4" customFormat="1" ht="9.75" customHeight="1">
      <c r="A169" s="4">
        <v>2349</v>
      </c>
      <c r="B169" s="10">
        <v>500003</v>
      </c>
      <c r="C169" s="1" t="s">
        <v>80</v>
      </c>
      <c r="D169" s="3">
        <v>46150</v>
      </c>
      <c r="E169" s="4" t="s">
        <v>77</v>
      </c>
      <c r="F169" s="5" t="s">
        <v>36</v>
      </c>
      <c r="G169" s="33" t="s">
        <v>28</v>
      </c>
      <c r="H169" s="2">
        <v>0</v>
      </c>
      <c r="I169" s="2">
        <v>44987.4</v>
      </c>
    </row>
    <row r="170" spans="1:9" s="4" customFormat="1" ht="9.75" customHeight="1">
      <c r="A170" s="4">
        <v>2350</v>
      </c>
      <c r="B170" s="10">
        <v>500003</v>
      </c>
      <c r="C170" s="1" t="s">
        <v>80</v>
      </c>
      <c r="D170" s="3">
        <v>46150</v>
      </c>
      <c r="E170" s="4" t="s">
        <v>77</v>
      </c>
      <c r="F170" s="5" t="s">
        <v>36</v>
      </c>
      <c r="G170" s="33" t="s">
        <v>28</v>
      </c>
      <c r="H170" s="2">
        <v>0</v>
      </c>
      <c r="I170" s="2">
        <v>29991.599999999999</v>
      </c>
    </row>
    <row r="171" spans="1:9" s="4" customFormat="1" ht="9.75" customHeight="1">
      <c r="A171" s="4">
        <v>2351</v>
      </c>
      <c r="B171" s="10">
        <v>500003</v>
      </c>
      <c r="C171" s="1" t="s">
        <v>80</v>
      </c>
      <c r="D171" s="3">
        <v>46157</v>
      </c>
      <c r="E171" s="4" t="s">
        <v>77</v>
      </c>
      <c r="F171" s="5" t="s">
        <v>36</v>
      </c>
      <c r="G171" s="33" t="s">
        <v>28</v>
      </c>
      <c r="H171" s="2">
        <v>0</v>
      </c>
      <c r="I171" s="2">
        <v>30910.799999999999</v>
      </c>
    </row>
    <row r="172" spans="1:9" s="4" customFormat="1" ht="9.75" customHeight="1">
      <c r="A172" s="4">
        <v>2352</v>
      </c>
      <c r="B172" s="10">
        <v>500003</v>
      </c>
      <c r="C172" s="1" t="s">
        <v>80</v>
      </c>
      <c r="D172" s="3">
        <v>46171</v>
      </c>
      <c r="E172" s="4" t="s">
        <v>77</v>
      </c>
      <c r="F172" s="5" t="s">
        <v>36</v>
      </c>
      <c r="G172" s="33" t="s">
        <v>28</v>
      </c>
      <c r="H172" s="2">
        <v>0</v>
      </c>
      <c r="I172" s="2">
        <v>31975</v>
      </c>
    </row>
    <row r="173" spans="1:9" s="4" customFormat="1" ht="9.75" customHeight="1">
      <c r="A173" s="4">
        <v>2353</v>
      </c>
      <c r="B173" s="10">
        <v>500003</v>
      </c>
      <c r="C173" s="1" t="s">
        <v>80</v>
      </c>
      <c r="D173" s="3">
        <v>46172</v>
      </c>
      <c r="E173" s="4" t="s">
        <v>77</v>
      </c>
      <c r="F173" s="5" t="s">
        <v>36</v>
      </c>
      <c r="G173" s="33" t="s">
        <v>28</v>
      </c>
      <c r="H173" s="2">
        <v>0</v>
      </c>
      <c r="I173" s="2">
        <v>68164.5</v>
      </c>
    </row>
    <row r="174" spans="1:9" s="4" customFormat="1" ht="9.75" customHeight="1">
      <c r="A174" s="4">
        <v>2354</v>
      </c>
      <c r="B174" s="10">
        <v>500003</v>
      </c>
      <c r="C174" s="1" t="s">
        <v>80</v>
      </c>
      <c r="D174" s="3">
        <v>46173</v>
      </c>
      <c r="E174" s="4" t="s">
        <v>77</v>
      </c>
      <c r="F174" s="5" t="s">
        <v>36</v>
      </c>
      <c r="G174" s="33" t="s">
        <v>28</v>
      </c>
      <c r="H174" s="2">
        <v>0</v>
      </c>
      <c r="I174" s="2">
        <v>33265.800000000003</v>
      </c>
    </row>
    <row r="175" spans="1:9" s="4" customFormat="1" ht="9.75" customHeight="1">
      <c r="A175" s="4">
        <v>2355</v>
      </c>
      <c r="B175" s="10">
        <v>500004</v>
      </c>
      <c r="C175" s="6" t="s">
        <v>97</v>
      </c>
      <c r="D175" s="3">
        <v>46173</v>
      </c>
      <c r="E175" s="4" t="s">
        <v>23</v>
      </c>
      <c r="F175" s="5" t="s">
        <v>33</v>
      </c>
      <c r="G175" s="33" t="s">
        <v>29</v>
      </c>
      <c r="H175" s="2">
        <v>24477.74</v>
      </c>
      <c r="I175" s="2">
        <v>0</v>
      </c>
    </row>
    <row r="176" spans="1:9" s="4" customFormat="1" ht="9.75" customHeight="1">
      <c r="A176" s="4">
        <v>2356</v>
      </c>
      <c r="B176" s="10">
        <v>500004</v>
      </c>
      <c r="C176" s="1" t="s">
        <v>97</v>
      </c>
      <c r="D176" s="3">
        <v>46173</v>
      </c>
      <c r="E176" s="4" t="s">
        <v>23</v>
      </c>
      <c r="F176" s="5" t="s">
        <v>33</v>
      </c>
      <c r="G176" s="33" t="s">
        <v>29</v>
      </c>
      <c r="H176" s="2">
        <v>34268.83</v>
      </c>
      <c r="I176" s="2">
        <v>0</v>
      </c>
    </row>
    <row r="177" spans="1:9" s="4" customFormat="1" ht="9.75" customHeight="1">
      <c r="A177" s="4">
        <v>2357</v>
      </c>
      <c r="B177" s="10">
        <v>500004</v>
      </c>
      <c r="C177" s="1" t="s">
        <v>97</v>
      </c>
      <c r="D177" s="3">
        <v>46173</v>
      </c>
      <c r="E177" s="4" t="s">
        <v>23</v>
      </c>
      <c r="F177" s="5" t="s">
        <v>33</v>
      </c>
      <c r="G177" s="33" t="s">
        <v>29</v>
      </c>
      <c r="H177" s="2">
        <v>29373.279999999999</v>
      </c>
      <c r="I177" s="2">
        <v>0</v>
      </c>
    </row>
    <row r="178" spans="1:9" s="4" customFormat="1" ht="9.75" customHeight="1">
      <c r="A178" s="4">
        <v>2358</v>
      </c>
      <c r="B178" s="10">
        <v>500004</v>
      </c>
      <c r="C178" s="1" t="s">
        <v>97</v>
      </c>
      <c r="D178" s="3">
        <v>46173</v>
      </c>
      <c r="E178" s="4" t="s">
        <v>23</v>
      </c>
      <c r="F178" s="5" t="s">
        <v>33</v>
      </c>
      <c r="G178" s="33" t="s">
        <v>29</v>
      </c>
      <c r="H178" s="2">
        <v>30046.63</v>
      </c>
      <c r="I178" s="2">
        <v>0</v>
      </c>
    </row>
    <row r="179" spans="1:9" s="4" customFormat="1" ht="9.75" customHeight="1">
      <c r="A179" s="4">
        <v>2359</v>
      </c>
      <c r="B179" s="10">
        <v>500004</v>
      </c>
      <c r="C179" s="1" t="s">
        <v>97</v>
      </c>
      <c r="D179" s="3">
        <v>46173</v>
      </c>
      <c r="E179" s="4" t="s">
        <v>23</v>
      </c>
      <c r="F179" s="5" t="s">
        <v>33</v>
      </c>
      <c r="G179" s="33" t="s">
        <v>29</v>
      </c>
      <c r="H179" s="2">
        <v>35299.78</v>
      </c>
      <c r="I179" s="2">
        <v>0</v>
      </c>
    </row>
    <row r="180" spans="1:9" s="4" customFormat="1" ht="9.75" customHeight="1">
      <c r="A180" s="4">
        <v>2360</v>
      </c>
      <c r="B180" s="10">
        <v>500004</v>
      </c>
      <c r="C180" s="1" t="s">
        <v>97</v>
      </c>
      <c r="D180" s="3">
        <v>46173</v>
      </c>
      <c r="E180" s="4" t="s">
        <v>23</v>
      </c>
      <c r="F180" s="5" t="s">
        <v>33</v>
      </c>
      <c r="G180" s="33" t="s">
        <v>29</v>
      </c>
      <c r="H180" s="2">
        <v>71115.45</v>
      </c>
      <c r="I180" s="2">
        <v>0</v>
      </c>
    </row>
    <row r="181" spans="1:9" s="4" customFormat="1" ht="9.75" customHeight="1">
      <c r="A181" s="4">
        <v>2361</v>
      </c>
      <c r="B181" s="10">
        <v>500004</v>
      </c>
      <c r="C181" s="1" t="s">
        <v>97</v>
      </c>
      <c r="D181" s="3">
        <v>46173</v>
      </c>
      <c r="E181" s="4" t="s">
        <v>23</v>
      </c>
      <c r="F181" s="5" t="s">
        <v>33</v>
      </c>
      <c r="G181" s="33" t="s">
        <v>29</v>
      </c>
      <c r="H181" s="2">
        <v>30478.05</v>
      </c>
      <c r="I181" s="2">
        <v>0</v>
      </c>
    </row>
    <row r="182" spans="1:9" s="4" customFormat="1" ht="9.75" customHeight="1">
      <c r="A182" s="4">
        <v>2362</v>
      </c>
      <c r="B182" s="10">
        <v>500004</v>
      </c>
      <c r="C182" s="1" t="s">
        <v>97</v>
      </c>
      <c r="D182" s="3">
        <v>46173</v>
      </c>
      <c r="E182" s="4" t="s">
        <v>23</v>
      </c>
      <c r="F182" s="5" t="s">
        <v>33</v>
      </c>
      <c r="G182" s="33" t="s">
        <v>29</v>
      </c>
      <c r="H182" s="2">
        <v>36136.06</v>
      </c>
      <c r="I182" s="2">
        <v>0</v>
      </c>
    </row>
    <row r="183" spans="1:9" s="4" customFormat="1" ht="9.75" customHeight="1">
      <c r="A183" s="4">
        <v>2363</v>
      </c>
      <c r="B183" s="10">
        <v>500004</v>
      </c>
      <c r="C183" s="1" t="s">
        <v>97</v>
      </c>
      <c r="D183" s="3">
        <v>46173</v>
      </c>
      <c r="E183" s="4" t="s">
        <v>23</v>
      </c>
      <c r="F183" s="5" t="s">
        <v>33</v>
      </c>
      <c r="G183" s="33" t="s">
        <v>29</v>
      </c>
      <c r="H183" s="2">
        <v>30647.24</v>
      </c>
      <c r="I183" s="2">
        <v>0</v>
      </c>
    </row>
    <row r="184" spans="1:9" s="4" customFormat="1" ht="9.75" customHeight="1">
      <c r="A184" s="4">
        <v>2364</v>
      </c>
      <c r="B184" s="10">
        <v>500004</v>
      </c>
      <c r="C184" s="1" t="s">
        <v>97</v>
      </c>
      <c r="D184" s="3">
        <v>46173</v>
      </c>
      <c r="E184" s="4" t="s">
        <v>23</v>
      </c>
      <c r="F184" s="5" t="s">
        <v>33</v>
      </c>
      <c r="G184" s="33" t="s">
        <v>29</v>
      </c>
      <c r="H184" s="2">
        <v>36880.86</v>
      </c>
      <c r="I184" s="2">
        <v>0</v>
      </c>
    </row>
    <row r="185" spans="1:9" s="4" customFormat="1" ht="9.75" customHeight="1">
      <c r="A185" s="4">
        <v>2365</v>
      </c>
      <c r="B185" s="10">
        <v>500004</v>
      </c>
      <c r="C185" s="1" t="s">
        <v>97</v>
      </c>
      <c r="D185" s="3">
        <v>46173</v>
      </c>
      <c r="E185" s="4" t="s">
        <v>23</v>
      </c>
      <c r="F185" s="5" t="s">
        <v>33</v>
      </c>
      <c r="G185" s="33" t="s">
        <v>29</v>
      </c>
      <c r="H185" s="2">
        <v>37135.33</v>
      </c>
      <c r="I185" s="2">
        <v>0</v>
      </c>
    </row>
    <row r="186" spans="1:9" s="4" customFormat="1" ht="9.75" customHeight="1">
      <c r="A186" s="4">
        <v>2366</v>
      </c>
      <c r="B186" s="10">
        <v>500004</v>
      </c>
      <c r="C186" s="1" t="s">
        <v>97</v>
      </c>
      <c r="D186" s="3">
        <v>46173</v>
      </c>
      <c r="E186" s="4" t="s">
        <v>23</v>
      </c>
      <c r="F186" s="5" t="s">
        <v>33</v>
      </c>
      <c r="G186" s="33" t="s">
        <v>29</v>
      </c>
      <c r="H186" s="2">
        <v>43076.99</v>
      </c>
      <c r="I186" s="2">
        <v>0</v>
      </c>
    </row>
    <row r="187" spans="1:9" s="4" customFormat="1" ht="9.75" customHeight="1">
      <c r="A187" s="4">
        <v>2367</v>
      </c>
      <c r="B187" s="10">
        <v>500004</v>
      </c>
      <c r="C187" s="1" t="s">
        <v>97</v>
      </c>
      <c r="D187" s="3">
        <v>46173</v>
      </c>
      <c r="E187" s="4" t="s">
        <v>23</v>
      </c>
      <c r="F187" s="5" t="s">
        <v>33</v>
      </c>
      <c r="G187" s="33" t="s">
        <v>29</v>
      </c>
      <c r="H187" s="2">
        <v>37692.36</v>
      </c>
      <c r="I187" s="2">
        <v>0</v>
      </c>
    </row>
    <row r="188" spans="1:9" s="4" customFormat="1" ht="9.75" customHeight="1">
      <c r="A188" s="4">
        <v>2368</v>
      </c>
      <c r="B188" s="10">
        <v>500004</v>
      </c>
      <c r="C188" s="1" t="s">
        <v>97</v>
      </c>
      <c r="D188" s="3">
        <v>46173</v>
      </c>
      <c r="E188" s="4" t="s">
        <v>23</v>
      </c>
      <c r="F188" s="5" t="s">
        <v>33</v>
      </c>
      <c r="G188" s="33" t="s">
        <v>29</v>
      </c>
      <c r="H188" s="2">
        <v>43851.5</v>
      </c>
      <c r="I188" s="2">
        <v>0</v>
      </c>
    </row>
    <row r="189" spans="1:9" s="4" customFormat="1" ht="9.75" customHeight="1">
      <c r="A189" s="4">
        <v>2369</v>
      </c>
      <c r="B189" s="10">
        <v>500004</v>
      </c>
      <c r="C189" s="1" t="s">
        <v>98</v>
      </c>
      <c r="D189" s="3">
        <v>46173</v>
      </c>
      <c r="E189" s="4" t="s">
        <v>23</v>
      </c>
      <c r="F189" s="5" t="s">
        <v>33</v>
      </c>
      <c r="G189" s="33" t="s">
        <v>30</v>
      </c>
      <c r="H189" s="2">
        <v>38120.559999999998</v>
      </c>
      <c r="I189" s="2">
        <v>0</v>
      </c>
    </row>
    <row r="190" spans="1:9" s="4" customFormat="1" ht="9.75" customHeight="1">
      <c r="A190" s="4">
        <v>2370</v>
      </c>
      <c r="B190" s="10">
        <v>500004</v>
      </c>
      <c r="C190" s="1" t="s">
        <v>98</v>
      </c>
      <c r="D190" s="3">
        <v>46173</v>
      </c>
      <c r="E190" s="4" t="s">
        <v>23</v>
      </c>
      <c r="F190" s="5" t="s">
        <v>33</v>
      </c>
      <c r="G190" s="33" t="s">
        <v>30</v>
      </c>
      <c r="H190" s="2">
        <v>55761.22</v>
      </c>
      <c r="I190" s="2">
        <v>0</v>
      </c>
    </row>
    <row r="191" spans="1:9" s="4" customFormat="1" ht="9.75" customHeight="1">
      <c r="A191" s="4">
        <v>2371</v>
      </c>
      <c r="B191" s="10">
        <v>500004</v>
      </c>
      <c r="C191" s="1" t="s">
        <v>98</v>
      </c>
      <c r="D191" s="3">
        <v>46173</v>
      </c>
      <c r="E191" s="4" t="s">
        <v>23</v>
      </c>
      <c r="F191" s="5" t="s">
        <v>33</v>
      </c>
      <c r="G191" s="33" t="s">
        <v>30</v>
      </c>
      <c r="H191" s="2">
        <v>45019.37</v>
      </c>
      <c r="I191" s="2">
        <v>0</v>
      </c>
    </row>
    <row r="192" spans="1:9" s="4" customFormat="1" ht="9.75" customHeight="1">
      <c r="A192" s="4">
        <v>2372</v>
      </c>
      <c r="B192" s="10">
        <v>500004</v>
      </c>
      <c r="C192" s="1" t="s">
        <v>98</v>
      </c>
      <c r="D192" s="3">
        <v>46173</v>
      </c>
      <c r="E192" s="4" t="s">
        <v>23</v>
      </c>
      <c r="F192" s="5" t="s">
        <v>33</v>
      </c>
      <c r="G192" s="33" t="s">
        <v>30</v>
      </c>
      <c r="H192" s="2">
        <v>67529.070000000007</v>
      </c>
      <c r="I192" s="2">
        <v>0</v>
      </c>
    </row>
    <row r="193" spans="1:9" s="4" customFormat="1" ht="9.75" customHeight="1">
      <c r="A193" s="4">
        <v>2373</v>
      </c>
      <c r="B193" s="10">
        <v>500004</v>
      </c>
      <c r="C193" s="1" t="s">
        <v>99</v>
      </c>
      <c r="D193" s="3">
        <v>46173</v>
      </c>
      <c r="E193" s="4" t="s">
        <v>21</v>
      </c>
      <c r="F193" s="5" t="s">
        <v>22</v>
      </c>
      <c r="G193" s="33" t="s">
        <v>29</v>
      </c>
      <c r="H193" s="2">
        <v>0</v>
      </c>
      <c r="I193" s="2">
        <f>SUM(H175:H188)</f>
        <v>520480.1</v>
      </c>
    </row>
    <row r="194" spans="1:9" s="4" customFormat="1" ht="9.75" customHeight="1">
      <c r="A194" s="4">
        <v>2374</v>
      </c>
      <c r="B194" s="10">
        <v>500004</v>
      </c>
      <c r="C194" s="1" t="s">
        <v>100</v>
      </c>
      <c r="D194" s="3">
        <v>46173</v>
      </c>
      <c r="E194" s="4" t="s">
        <v>21</v>
      </c>
      <c r="F194" s="5" t="s">
        <v>22</v>
      </c>
      <c r="G194" s="33" t="s">
        <v>30</v>
      </c>
      <c r="H194" s="2">
        <v>0</v>
      </c>
      <c r="I194" s="2">
        <f>SUM(H189:H192)</f>
        <v>206430.22</v>
      </c>
    </row>
    <row r="195" spans="1:9" s="4" customFormat="1" ht="9.75" customHeight="1">
      <c r="A195" s="4">
        <v>2375</v>
      </c>
      <c r="B195" s="10">
        <v>500004</v>
      </c>
      <c r="C195" s="1" t="s">
        <v>104</v>
      </c>
      <c r="D195" s="3">
        <v>46173</v>
      </c>
      <c r="E195" s="4" t="s">
        <v>9</v>
      </c>
      <c r="F195" s="5" t="s">
        <v>10</v>
      </c>
      <c r="G195" s="7">
        <v>50951614780</v>
      </c>
      <c r="H195" s="2">
        <v>24477.74</v>
      </c>
      <c r="I195" s="2">
        <v>0</v>
      </c>
    </row>
    <row r="196" spans="1:9" s="4" customFormat="1" ht="9.75" customHeight="1">
      <c r="A196" s="4">
        <v>2376</v>
      </c>
      <c r="B196" s="10">
        <v>500004</v>
      </c>
      <c r="C196" s="1" t="s">
        <v>104</v>
      </c>
      <c r="D196" s="3">
        <v>46173</v>
      </c>
      <c r="E196" s="4" t="s">
        <v>9</v>
      </c>
      <c r="F196" s="5" t="s">
        <v>10</v>
      </c>
      <c r="G196" s="7">
        <v>50952509535</v>
      </c>
      <c r="H196" s="2">
        <v>34268.83</v>
      </c>
      <c r="I196" s="2">
        <v>0</v>
      </c>
    </row>
    <row r="197" spans="1:9" s="4" customFormat="1" ht="9.75" customHeight="1">
      <c r="A197" s="4">
        <v>2377</v>
      </c>
      <c r="B197" s="10">
        <v>500004</v>
      </c>
      <c r="C197" s="1" t="s">
        <v>13</v>
      </c>
      <c r="D197" s="3">
        <v>46173</v>
      </c>
      <c r="E197" s="4" t="s">
        <v>9</v>
      </c>
      <c r="F197" s="5" t="s">
        <v>10</v>
      </c>
      <c r="G197" s="7">
        <v>50953451515</v>
      </c>
      <c r="H197" s="2">
        <v>29373.279999999999</v>
      </c>
      <c r="I197" s="2">
        <v>0</v>
      </c>
    </row>
    <row r="198" spans="1:9" s="4" customFormat="1" ht="9.75" customHeight="1">
      <c r="A198" s="4">
        <v>2378</v>
      </c>
      <c r="B198" s="10">
        <v>500004</v>
      </c>
      <c r="C198" s="1" t="s">
        <v>104</v>
      </c>
      <c r="D198" s="3">
        <v>46173</v>
      </c>
      <c r="E198" s="4" t="s">
        <v>9</v>
      </c>
      <c r="F198" s="5" t="s">
        <v>10</v>
      </c>
      <c r="G198" s="7">
        <v>50955336131</v>
      </c>
      <c r="H198" s="2">
        <v>29602.59</v>
      </c>
      <c r="I198" s="2">
        <v>0</v>
      </c>
    </row>
    <row r="199" spans="1:9" s="4" customFormat="1" ht="9.75" customHeight="1">
      <c r="A199" s="4">
        <v>2379</v>
      </c>
      <c r="B199" s="10">
        <v>500004</v>
      </c>
      <c r="C199" s="1" t="s">
        <v>104</v>
      </c>
      <c r="D199" s="3">
        <v>46173</v>
      </c>
      <c r="E199" s="4" t="s">
        <v>9</v>
      </c>
      <c r="F199" s="5" t="s">
        <v>10</v>
      </c>
      <c r="G199" s="7">
        <v>50956312824</v>
      </c>
      <c r="H199" s="2">
        <v>34778.11</v>
      </c>
      <c r="I199" s="2">
        <v>0</v>
      </c>
    </row>
    <row r="200" spans="1:9" s="4" customFormat="1" ht="9.75" customHeight="1">
      <c r="A200" s="4">
        <v>2380</v>
      </c>
      <c r="B200" s="10">
        <v>500004</v>
      </c>
      <c r="C200" s="1" t="s">
        <v>104</v>
      </c>
      <c r="D200" s="3">
        <v>46173</v>
      </c>
      <c r="E200" s="4" t="s">
        <v>9</v>
      </c>
      <c r="F200" s="5" t="s">
        <v>10</v>
      </c>
      <c r="G200" s="8">
        <v>50958649647</v>
      </c>
      <c r="H200" s="2">
        <v>70064.479999999996</v>
      </c>
      <c r="I200" s="2">
        <v>0</v>
      </c>
    </row>
    <row r="201" spans="1:9" s="4" customFormat="1" ht="9.75" customHeight="1">
      <c r="A201" s="4">
        <v>2381</v>
      </c>
      <c r="B201" s="10">
        <v>500004</v>
      </c>
      <c r="C201" s="1" t="s">
        <v>104</v>
      </c>
      <c r="D201" s="3">
        <v>46173</v>
      </c>
      <c r="E201" s="4" t="s">
        <v>9</v>
      </c>
      <c r="F201" s="5" t="s">
        <v>10</v>
      </c>
      <c r="G201" s="7">
        <v>50959388484</v>
      </c>
      <c r="H201" s="2">
        <v>30027.64</v>
      </c>
      <c r="I201" s="2">
        <v>0</v>
      </c>
    </row>
    <row r="202" spans="1:9" s="4" customFormat="1" ht="9.75" customHeight="1">
      <c r="A202" s="4">
        <v>2382</v>
      </c>
      <c r="B202" s="10">
        <v>500004</v>
      </c>
      <c r="C202" s="1" t="s">
        <v>104</v>
      </c>
      <c r="D202" s="3">
        <v>46173</v>
      </c>
      <c r="E202" s="4" t="s">
        <v>9</v>
      </c>
      <c r="F202" s="5" t="s">
        <v>10</v>
      </c>
      <c r="G202" s="7">
        <v>50962120145</v>
      </c>
      <c r="H202" s="2">
        <v>35602.03</v>
      </c>
      <c r="I202" s="2">
        <v>0</v>
      </c>
    </row>
    <row r="203" spans="1:9" s="4" customFormat="1" ht="9.75" customHeight="1">
      <c r="A203" s="4">
        <v>2383</v>
      </c>
      <c r="B203" s="10">
        <v>500004</v>
      </c>
      <c r="C203" s="1" t="s">
        <v>104</v>
      </c>
      <c r="D203" s="3">
        <v>46173</v>
      </c>
      <c r="E203" s="4" t="s">
        <v>9</v>
      </c>
      <c r="F203" s="5" t="s">
        <v>10</v>
      </c>
      <c r="G203" s="8">
        <v>50963066973</v>
      </c>
      <c r="H203" s="2">
        <v>30647.24</v>
      </c>
      <c r="I203" s="2">
        <v>0</v>
      </c>
    </row>
    <row r="204" spans="1:9" s="4" customFormat="1" ht="9.75" customHeight="1">
      <c r="A204" s="4">
        <v>2384</v>
      </c>
      <c r="B204" s="10">
        <v>500004</v>
      </c>
      <c r="C204" s="1" t="s">
        <v>104</v>
      </c>
      <c r="D204" s="3">
        <v>46173</v>
      </c>
      <c r="E204" s="4" t="s">
        <v>9</v>
      </c>
      <c r="F204" s="5" t="s">
        <v>10</v>
      </c>
      <c r="G204" s="7">
        <v>50971708122</v>
      </c>
      <c r="H204" s="2">
        <v>36880.86</v>
      </c>
      <c r="I204" s="2">
        <v>0</v>
      </c>
    </row>
    <row r="205" spans="1:9" s="4" customFormat="1" ht="9.75" customHeight="1">
      <c r="A205" s="4">
        <v>2385</v>
      </c>
      <c r="B205" s="10">
        <v>500004</v>
      </c>
      <c r="C205" s="1" t="s">
        <v>104</v>
      </c>
      <c r="D205" s="3">
        <v>46173</v>
      </c>
      <c r="E205" s="4" t="s">
        <v>9</v>
      </c>
      <c r="F205" s="5" t="s">
        <v>10</v>
      </c>
      <c r="G205" s="7">
        <v>50972743021</v>
      </c>
      <c r="H205" s="2">
        <v>37135.33</v>
      </c>
      <c r="I205" s="2">
        <v>0</v>
      </c>
    </row>
    <row r="206" spans="1:9" s="4" customFormat="1" ht="9.75" customHeight="1">
      <c r="A206" s="4">
        <v>2386</v>
      </c>
      <c r="B206" s="10">
        <v>500004</v>
      </c>
      <c r="C206" s="1" t="s">
        <v>104</v>
      </c>
      <c r="D206" s="3">
        <v>46173</v>
      </c>
      <c r="E206" s="4" t="s">
        <v>9</v>
      </c>
      <c r="F206" s="5" t="s">
        <v>10</v>
      </c>
      <c r="G206" s="7">
        <v>50973571685</v>
      </c>
      <c r="H206" s="2">
        <v>42440.38</v>
      </c>
      <c r="I206" s="2">
        <v>0</v>
      </c>
    </row>
    <row r="207" spans="1:9" s="4" customFormat="1" ht="9.75" customHeight="1">
      <c r="A207" s="4">
        <v>2387</v>
      </c>
      <c r="B207" s="10">
        <v>500004</v>
      </c>
      <c r="C207" s="1" t="s">
        <v>104</v>
      </c>
      <c r="D207" s="3">
        <v>46173</v>
      </c>
      <c r="E207" s="4" t="s">
        <v>9</v>
      </c>
      <c r="F207" s="5" t="s">
        <v>10</v>
      </c>
      <c r="G207" s="7">
        <v>50974591951</v>
      </c>
      <c r="H207" s="2">
        <v>37135.33</v>
      </c>
      <c r="I207" s="2">
        <v>0</v>
      </c>
    </row>
    <row r="208" spans="1:9" s="4" customFormat="1" ht="9.75" customHeight="1">
      <c r="A208" s="4">
        <v>2388</v>
      </c>
      <c r="B208" s="10">
        <v>500004</v>
      </c>
      <c r="C208" s="1" t="s">
        <v>104</v>
      </c>
      <c r="D208" s="3">
        <v>46173</v>
      </c>
      <c r="E208" s="4" t="s">
        <v>9</v>
      </c>
      <c r="F208" s="5" t="s">
        <v>10</v>
      </c>
      <c r="G208" s="7">
        <v>50976413008</v>
      </c>
      <c r="H208" s="2">
        <v>43203.45</v>
      </c>
      <c r="I208" s="2">
        <v>0</v>
      </c>
    </row>
    <row r="209" spans="1:9" s="4" customFormat="1" ht="9.75" customHeight="1">
      <c r="A209" s="4">
        <v>2389</v>
      </c>
      <c r="B209" s="10">
        <v>500004</v>
      </c>
      <c r="C209" s="1" t="s">
        <v>104</v>
      </c>
      <c r="D209" s="3">
        <v>46173</v>
      </c>
      <c r="E209" s="4" t="s">
        <v>9</v>
      </c>
      <c r="F209" s="5" t="s">
        <v>10</v>
      </c>
      <c r="G209" s="7">
        <v>50977285346</v>
      </c>
      <c r="H209" s="2">
        <v>38120.559999999998</v>
      </c>
      <c r="I209" s="2">
        <v>0</v>
      </c>
    </row>
    <row r="210" spans="1:9" s="4" customFormat="1" ht="9.75" customHeight="1">
      <c r="A210" s="4">
        <v>2390</v>
      </c>
      <c r="B210" s="10">
        <v>500004</v>
      </c>
      <c r="C210" s="1" t="s">
        <v>104</v>
      </c>
      <c r="D210" s="3">
        <v>46173</v>
      </c>
      <c r="E210" s="4" t="s">
        <v>9</v>
      </c>
      <c r="F210" s="5" t="s">
        <v>10</v>
      </c>
      <c r="G210" s="7">
        <v>50978754556</v>
      </c>
      <c r="H210" s="2">
        <v>54937.16</v>
      </c>
      <c r="I210" s="2">
        <v>0</v>
      </c>
    </row>
    <row r="211" spans="1:9" s="4" customFormat="1" ht="9.75" customHeight="1">
      <c r="A211" s="4">
        <v>2391</v>
      </c>
      <c r="B211" s="10">
        <v>500004</v>
      </c>
      <c r="C211" s="1" t="s">
        <v>105</v>
      </c>
      <c r="D211" s="3">
        <v>46173</v>
      </c>
      <c r="E211" s="4" t="s">
        <v>9</v>
      </c>
      <c r="F211" s="5" t="s">
        <v>10</v>
      </c>
      <c r="G211" s="7">
        <v>50980164440</v>
      </c>
      <c r="H211" s="2">
        <v>44354.06</v>
      </c>
      <c r="I211" s="2">
        <v>0</v>
      </c>
    </row>
    <row r="212" spans="1:9" s="4" customFormat="1" ht="9.75" customHeight="1">
      <c r="A212" s="4">
        <v>2392</v>
      </c>
      <c r="B212" s="10">
        <v>500004</v>
      </c>
      <c r="C212" s="1" t="s">
        <v>104</v>
      </c>
      <c r="D212" s="3">
        <v>46173</v>
      </c>
      <c r="E212" s="4" t="s">
        <v>9</v>
      </c>
      <c r="F212" s="5" t="s">
        <v>10</v>
      </c>
      <c r="G212" s="7">
        <v>50981187674</v>
      </c>
      <c r="H212" s="2">
        <v>66531.100000000006</v>
      </c>
      <c r="I212" s="2">
        <v>0</v>
      </c>
    </row>
    <row r="213" spans="1:9" s="4" customFormat="1" ht="9.75" customHeight="1">
      <c r="A213" s="4">
        <v>2393</v>
      </c>
      <c r="B213" s="10">
        <v>500004</v>
      </c>
      <c r="C213" s="1" t="s">
        <v>97</v>
      </c>
      <c r="D213" s="3">
        <v>46173</v>
      </c>
      <c r="E213" s="4" t="s">
        <v>23</v>
      </c>
      <c r="F213" s="5" t="s">
        <v>33</v>
      </c>
      <c r="G213" s="33" t="s">
        <v>29</v>
      </c>
      <c r="H213" s="2">
        <v>0</v>
      </c>
      <c r="I213" s="2">
        <v>24477.74</v>
      </c>
    </row>
    <row r="214" spans="1:9" s="4" customFormat="1" ht="9.75" customHeight="1">
      <c r="A214" s="4">
        <v>2394</v>
      </c>
      <c r="B214" s="10">
        <v>500004</v>
      </c>
      <c r="C214" s="1" t="s">
        <v>97</v>
      </c>
      <c r="D214" s="3">
        <v>46173</v>
      </c>
      <c r="E214" s="4" t="s">
        <v>23</v>
      </c>
      <c r="F214" s="5" t="s">
        <v>33</v>
      </c>
      <c r="G214" s="33" t="s">
        <v>29</v>
      </c>
      <c r="H214" s="2">
        <v>0</v>
      </c>
      <c r="I214" s="2">
        <v>34268.83</v>
      </c>
    </row>
    <row r="215" spans="1:9" s="4" customFormat="1" ht="9.75" customHeight="1">
      <c r="A215" s="4">
        <v>2395</v>
      </c>
      <c r="B215" s="10">
        <v>500004</v>
      </c>
      <c r="C215" s="1" t="s">
        <v>97</v>
      </c>
      <c r="D215" s="3">
        <v>46173</v>
      </c>
      <c r="E215" s="4" t="s">
        <v>23</v>
      </c>
      <c r="F215" s="5" t="s">
        <v>33</v>
      </c>
      <c r="G215" s="33" t="s">
        <v>29</v>
      </c>
      <c r="H215" s="2">
        <v>0</v>
      </c>
      <c r="I215" s="2">
        <v>29373.279999999999</v>
      </c>
    </row>
    <row r="216" spans="1:9" s="4" customFormat="1" ht="9.75" customHeight="1">
      <c r="A216" s="4">
        <v>2396</v>
      </c>
      <c r="B216" s="10">
        <v>500004</v>
      </c>
      <c r="C216" s="1" t="s">
        <v>97</v>
      </c>
      <c r="D216" s="3">
        <v>46173</v>
      </c>
      <c r="E216" s="4" t="s">
        <v>23</v>
      </c>
      <c r="F216" s="5" t="s">
        <v>33</v>
      </c>
      <c r="G216" s="33" t="s">
        <v>29</v>
      </c>
      <c r="H216" s="2">
        <v>0</v>
      </c>
      <c r="I216" s="2">
        <v>29602.59</v>
      </c>
    </row>
    <row r="217" spans="1:9" s="4" customFormat="1" ht="9.75" customHeight="1">
      <c r="A217" s="4">
        <v>2397</v>
      </c>
      <c r="B217" s="10">
        <v>500004</v>
      </c>
      <c r="C217" s="1" t="s">
        <v>101</v>
      </c>
      <c r="D217" s="3">
        <v>46173</v>
      </c>
      <c r="E217" s="4" t="s">
        <v>21</v>
      </c>
      <c r="F217" s="5" t="s">
        <v>22</v>
      </c>
      <c r="G217" s="33" t="s">
        <v>29</v>
      </c>
      <c r="H217" s="2">
        <v>444.04000000000087</v>
      </c>
      <c r="I217" s="2"/>
    </row>
    <row r="218" spans="1:9" s="4" customFormat="1" ht="9.75" customHeight="1">
      <c r="A218" s="4">
        <v>2398</v>
      </c>
      <c r="B218" s="10">
        <v>500004</v>
      </c>
      <c r="C218" s="1" t="s">
        <v>101</v>
      </c>
      <c r="D218" s="3">
        <v>46173</v>
      </c>
      <c r="E218" s="4" t="s">
        <v>68</v>
      </c>
      <c r="F218" s="5" t="s">
        <v>69</v>
      </c>
      <c r="G218" s="33" t="s">
        <v>29</v>
      </c>
      <c r="H218" s="2">
        <v>0</v>
      </c>
      <c r="I218" s="2">
        <v>444.04000000000087</v>
      </c>
    </row>
    <row r="219" spans="1:9" s="4" customFormat="1" ht="9.75" customHeight="1">
      <c r="A219" s="4">
        <v>2399</v>
      </c>
      <c r="B219" s="10">
        <v>500004</v>
      </c>
      <c r="C219" s="1" t="s">
        <v>97</v>
      </c>
      <c r="D219" s="3">
        <v>46173</v>
      </c>
      <c r="E219" s="4" t="s">
        <v>23</v>
      </c>
      <c r="F219" s="5" t="s">
        <v>33</v>
      </c>
      <c r="G219" s="33" t="s">
        <v>29</v>
      </c>
      <c r="H219" s="2">
        <v>0</v>
      </c>
      <c r="I219" s="2">
        <v>34778.11</v>
      </c>
    </row>
    <row r="220" spans="1:9" s="4" customFormat="1" ht="9.75" customHeight="1">
      <c r="A220" s="4">
        <v>2400</v>
      </c>
      <c r="B220" s="10">
        <v>500004</v>
      </c>
      <c r="C220" s="1" t="s">
        <v>101</v>
      </c>
      <c r="D220" s="3">
        <v>46173</v>
      </c>
      <c r="E220" s="4" t="s">
        <v>21</v>
      </c>
      <c r="F220" s="5" t="s">
        <v>22</v>
      </c>
      <c r="G220" s="33" t="s">
        <v>29</v>
      </c>
      <c r="H220" s="2">
        <v>521.61000000000058</v>
      </c>
      <c r="I220" s="2">
        <v>0</v>
      </c>
    </row>
    <row r="221" spans="1:9" s="4" customFormat="1" ht="9.75" customHeight="1">
      <c r="A221" s="4">
        <v>2401</v>
      </c>
      <c r="B221" s="10">
        <v>500004</v>
      </c>
      <c r="C221" s="1" t="s">
        <v>101</v>
      </c>
      <c r="D221" s="3">
        <v>46173</v>
      </c>
      <c r="E221" s="4" t="s">
        <v>68</v>
      </c>
      <c r="F221" s="5" t="s">
        <v>69</v>
      </c>
      <c r="G221" s="33" t="s">
        <v>29</v>
      </c>
      <c r="H221" s="2">
        <v>0</v>
      </c>
      <c r="I221" s="2">
        <v>521.61000000000058</v>
      </c>
    </row>
    <row r="222" spans="1:9" s="4" customFormat="1" ht="9.75" customHeight="1">
      <c r="A222" s="4">
        <v>2402</v>
      </c>
      <c r="B222" s="10">
        <v>500004</v>
      </c>
      <c r="C222" s="1" t="s">
        <v>97</v>
      </c>
      <c r="D222" s="3">
        <v>46173</v>
      </c>
      <c r="E222" s="4" t="s">
        <v>23</v>
      </c>
      <c r="F222" s="5" t="s">
        <v>33</v>
      </c>
      <c r="G222" s="33" t="s">
        <v>29</v>
      </c>
      <c r="H222" s="2">
        <v>0</v>
      </c>
      <c r="I222" s="2">
        <v>70064.479999999996</v>
      </c>
    </row>
    <row r="223" spans="1:9" s="4" customFormat="1" ht="9.75" customHeight="1">
      <c r="A223" s="4">
        <v>2403</v>
      </c>
      <c r="B223" s="10">
        <v>500004</v>
      </c>
      <c r="C223" s="1" t="s">
        <v>101</v>
      </c>
      <c r="D223" s="3">
        <v>46173</v>
      </c>
      <c r="E223" s="4" t="s">
        <v>21</v>
      </c>
      <c r="F223" s="5" t="s">
        <v>22</v>
      </c>
      <c r="G223" s="33" t="s">
        <v>29</v>
      </c>
      <c r="H223" s="2">
        <v>1050.9700000000012</v>
      </c>
      <c r="I223" s="2"/>
    </row>
    <row r="224" spans="1:9" s="4" customFormat="1" ht="9.75" customHeight="1">
      <c r="A224" s="4">
        <v>2404</v>
      </c>
      <c r="B224" s="10">
        <v>500004</v>
      </c>
      <c r="C224" s="1" t="s">
        <v>101</v>
      </c>
      <c r="D224" s="3">
        <v>46173</v>
      </c>
      <c r="E224" s="4" t="s">
        <v>68</v>
      </c>
      <c r="F224" s="5" t="s">
        <v>69</v>
      </c>
      <c r="G224" s="33" t="s">
        <v>29</v>
      </c>
      <c r="H224" s="2">
        <v>0</v>
      </c>
      <c r="I224" s="2">
        <v>1050.9700000000012</v>
      </c>
    </row>
    <row r="225" spans="1:11" s="4" customFormat="1" ht="9.75" customHeight="1">
      <c r="A225" s="4">
        <v>2405</v>
      </c>
      <c r="B225" s="10">
        <v>500004</v>
      </c>
      <c r="C225" s="1" t="s">
        <v>97</v>
      </c>
      <c r="D225" s="3">
        <v>46173</v>
      </c>
      <c r="E225" s="4" t="s">
        <v>23</v>
      </c>
      <c r="F225" s="5" t="s">
        <v>33</v>
      </c>
      <c r="G225" s="33" t="s">
        <v>29</v>
      </c>
      <c r="H225" s="2">
        <v>0</v>
      </c>
      <c r="I225" s="2">
        <v>30027.64</v>
      </c>
    </row>
    <row r="226" spans="1:11" s="4" customFormat="1" ht="9.75" customHeight="1">
      <c r="A226" s="4">
        <v>2406</v>
      </c>
      <c r="B226" s="10">
        <v>500004</v>
      </c>
      <c r="C226" s="1" t="s">
        <v>101</v>
      </c>
      <c r="D226" s="3">
        <v>46173</v>
      </c>
      <c r="E226" s="4" t="s">
        <v>21</v>
      </c>
      <c r="F226" s="5" t="s">
        <v>22</v>
      </c>
      <c r="G226" s="33" t="s">
        <v>29</v>
      </c>
      <c r="H226" s="2">
        <v>450.40999999999985</v>
      </c>
      <c r="I226" s="2"/>
    </row>
    <row r="227" spans="1:11" s="4" customFormat="1" ht="9.75" customHeight="1">
      <c r="A227" s="4">
        <v>2407</v>
      </c>
      <c r="B227" s="10">
        <v>500004</v>
      </c>
      <c r="C227" s="1" t="s">
        <v>101</v>
      </c>
      <c r="D227" s="3">
        <v>46173</v>
      </c>
      <c r="E227" s="4" t="s">
        <v>68</v>
      </c>
      <c r="F227" s="5" t="s">
        <v>69</v>
      </c>
      <c r="G227" s="33" t="s">
        <v>29</v>
      </c>
      <c r="H227" s="2">
        <v>0</v>
      </c>
      <c r="I227" s="2">
        <v>450.40999999999985</v>
      </c>
    </row>
    <row r="228" spans="1:11" s="4" customFormat="1" ht="9.75" customHeight="1">
      <c r="A228" s="4">
        <v>2408</v>
      </c>
      <c r="B228" s="10">
        <v>500004</v>
      </c>
      <c r="C228" s="1" t="s">
        <v>97</v>
      </c>
      <c r="D228" s="3">
        <v>46173</v>
      </c>
      <c r="E228" s="4" t="s">
        <v>23</v>
      </c>
      <c r="F228" s="5" t="s">
        <v>33</v>
      </c>
      <c r="G228" s="33" t="s">
        <v>29</v>
      </c>
      <c r="H228" s="2">
        <v>0</v>
      </c>
      <c r="I228" s="2">
        <v>35602.03</v>
      </c>
    </row>
    <row r="229" spans="1:11" s="4" customFormat="1" ht="9.75" customHeight="1">
      <c r="A229" s="4">
        <v>2409</v>
      </c>
      <c r="B229" s="10">
        <v>500004</v>
      </c>
      <c r="C229" s="1" t="s">
        <v>101</v>
      </c>
      <c r="D229" s="3">
        <v>46173</v>
      </c>
      <c r="E229" s="4" t="s">
        <v>21</v>
      </c>
      <c r="F229" s="5" t="s">
        <v>22</v>
      </c>
      <c r="G229" s="33" t="s">
        <v>29</v>
      </c>
      <c r="H229" s="2">
        <v>534.02999999999884</v>
      </c>
      <c r="I229" s="2"/>
    </row>
    <row r="230" spans="1:11" s="4" customFormat="1" ht="11.25">
      <c r="A230" s="4">
        <v>2410</v>
      </c>
      <c r="B230" s="10">
        <v>500004</v>
      </c>
      <c r="C230" s="1" t="s">
        <v>101</v>
      </c>
      <c r="D230" s="3">
        <v>46173</v>
      </c>
      <c r="E230" s="4" t="s">
        <v>68</v>
      </c>
      <c r="F230" s="5" t="s">
        <v>69</v>
      </c>
      <c r="G230" s="33" t="s">
        <v>29</v>
      </c>
      <c r="H230" s="2">
        <v>0</v>
      </c>
      <c r="I230" s="2">
        <v>534.02999999999884</v>
      </c>
    </row>
    <row r="231" spans="1:11" s="4" customFormat="1" ht="9.75" customHeight="1">
      <c r="A231" s="4">
        <v>2411</v>
      </c>
      <c r="B231" s="10">
        <v>500004</v>
      </c>
      <c r="C231" s="1" t="s">
        <v>97</v>
      </c>
      <c r="D231" s="3">
        <v>46173</v>
      </c>
      <c r="E231" s="4" t="s">
        <v>23</v>
      </c>
      <c r="F231" s="5" t="s">
        <v>33</v>
      </c>
      <c r="G231" s="33" t="s">
        <v>29</v>
      </c>
      <c r="H231" s="2">
        <v>0</v>
      </c>
      <c r="I231" s="2">
        <v>30647.24</v>
      </c>
      <c r="K231" s="14"/>
    </row>
    <row r="232" spans="1:11" s="4" customFormat="1" ht="9.75" customHeight="1">
      <c r="A232" s="4">
        <v>2412</v>
      </c>
      <c r="B232" s="10">
        <v>500004</v>
      </c>
      <c r="C232" s="1" t="s">
        <v>98</v>
      </c>
      <c r="D232" s="3">
        <v>46173</v>
      </c>
      <c r="E232" s="4" t="s">
        <v>23</v>
      </c>
      <c r="F232" s="5" t="s">
        <v>33</v>
      </c>
      <c r="G232" s="33" t="s">
        <v>29</v>
      </c>
      <c r="H232" s="2">
        <v>0</v>
      </c>
      <c r="I232" s="2">
        <v>36880.86</v>
      </c>
      <c r="K232" s="14"/>
    </row>
    <row r="233" spans="1:11" s="4" customFormat="1" ht="9.75" customHeight="1">
      <c r="A233" s="4">
        <v>2413</v>
      </c>
      <c r="B233" s="10">
        <v>500004</v>
      </c>
      <c r="C233" s="1" t="s">
        <v>98</v>
      </c>
      <c r="D233" s="3">
        <v>46173</v>
      </c>
      <c r="E233" s="4" t="s">
        <v>23</v>
      </c>
      <c r="F233" s="5" t="s">
        <v>33</v>
      </c>
      <c r="G233" s="33" t="s">
        <v>29</v>
      </c>
      <c r="H233" s="2">
        <v>0</v>
      </c>
      <c r="I233" s="2">
        <v>37135.33</v>
      </c>
      <c r="K233" s="14"/>
    </row>
    <row r="234" spans="1:11" s="4" customFormat="1" ht="9.75" customHeight="1">
      <c r="A234" s="4">
        <v>2414</v>
      </c>
      <c r="B234" s="10">
        <v>500004</v>
      </c>
      <c r="C234" s="1" t="s">
        <v>98</v>
      </c>
      <c r="D234" s="3">
        <v>46173</v>
      </c>
      <c r="E234" s="4" t="s">
        <v>23</v>
      </c>
      <c r="F234" s="5" t="s">
        <v>33</v>
      </c>
      <c r="G234" s="33" t="s">
        <v>29</v>
      </c>
      <c r="H234" s="2">
        <v>0</v>
      </c>
      <c r="I234" s="2">
        <v>42440.38</v>
      </c>
    </row>
    <row r="235" spans="1:11" s="4" customFormat="1" ht="9.75" customHeight="1">
      <c r="A235" s="4">
        <v>2415</v>
      </c>
      <c r="B235" s="10">
        <v>500004</v>
      </c>
      <c r="C235" s="1" t="s">
        <v>101</v>
      </c>
      <c r="D235" s="3">
        <v>46173</v>
      </c>
      <c r="E235" s="4" t="s">
        <v>21</v>
      </c>
      <c r="F235" s="5" t="s">
        <v>22</v>
      </c>
      <c r="G235" s="33" t="s">
        <v>29</v>
      </c>
      <c r="H235" s="2">
        <v>636.11000000000058</v>
      </c>
      <c r="I235" s="2"/>
    </row>
    <row r="236" spans="1:11" s="4" customFormat="1" ht="9.75" customHeight="1">
      <c r="A236" s="4">
        <v>2416</v>
      </c>
      <c r="B236" s="10">
        <v>500004</v>
      </c>
      <c r="C236" s="1" t="s">
        <v>101</v>
      </c>
      <c r="D236" s="3">
        <v>46173</v>
      </c>
      <c r="E236" s="4" t="s">
        <v>68</v>
      </c>
      <c r="F236" s="5" t="s">
        <v>69</v>
      </c>
      <c r="G236" s="33" t="s">
        <v>29</v>
      </c>
      <c r="H236" s="2">
        <v>0</v>
      </c>
      <c r="I236" s="2">
        <v>636.11000000000058</v>
      </c>
    </row>
    <row r="237" spans="1:11" s="4" customFormat="1" ht="9.75" customHeight="1">
      <c r="A237" s="4">
        <v>2417</v>
      </c>
      <c r="B237" s="10">
        <v>500004</v>
      </c>
      <c r="C237" s="1" t="s">
        <v>97</v>
      </c>
      <c r="D237" s="3">
        <v>46173</v>
      </c>
      <c r="E237" s="4" t="s">
        <v>23</v>
      </c>
      <c r="F237" s="5" t="s">
        <v>33</v>
      </c>
      <c r="G237" s="33" t="s">
        <v>29</v>
      </c>
      <c r="H237" s="2">
        <v>0</v>
      </c>
      <c r="I237" s="2">
        <v>37135.33</v>
      </c>
    </row>
    <row r="238" spans="1:11" s="4" customFormat="1" ht="9.75" customHeight="1">
      <c r="A238" s="4">
        <v>2418</v>
      </c>
      <c r="B238" s="10">
        <v>500004</v>
      </c>
      <c r="C238" s="1" t="s">
        <v>101</v>
      </c>
      <c r="D238" s="3">
        <v>46173</v>
      </c>
      <c r="E238" s="4" t="s">
        <v>21</v>
      </c>
      <c r="F238" s="5" t="s">
        <v>22</v>
      </c>
      <c r="G238" s="33" t="s">
        <v>29</v>
      </c>
      <c r="H238" s="2">
        <v>557.02999999999884</v>
      </c>
      <c r="I238" s="2"/>
    </row>
    <row r="239" spans="1:11" s="4" customFormat="1" ht="9.75" customHeight="1">
      <c r="A239" s="4">
        <v>2419</v>
      </c>
      <c r="B239" s="10">
        <v>500004</v>
      </c>
      <c r="C239" s="1" t="s">
        <v>101</v>
      </c>
      <c r="D239" s="3">
        <v>46173</v>
      </c>
      <c r="E239" s="4" t="s">
        <v>68</v>
      </c>
      <c r="F239" s="5" t="s">
        <v>69</v>
      </c>
      <c r="G239" s="33" t="s">
        <v>29</v>
      </c>
      <c r="H239" s="2">
        <v>0</v>
      </c>
      <c r="I239" s="2">
        <v>557.02999999999884</v>
      </c>
    </row>
    <row r="240" spans="1:11" s="4" customFormat="1" ht="9.75" customHeight="1">
      <c r="A240" s="4">
        <v>2420</v>
      </c>
      <c r="B240" s="10">
        <v>500004</v>
      </c>
      <c r="C240" s="1" t="s">
        <v>97</v>
      </c>
      <c r="D240" s="3">
        <v>46173</v>
      </c>
      <c r="E240" s="4" t="s">
        <v>23</v>
      </c>
      <c r="F240" s="5" t="s">
        <v>33</v>
      </c>
      <c r="G240" s="33" t="s">
        <v>29</v>
      </c>
      <c r="H240" s="2">
        <v>0</v>
      </c>
      <c r="I240" s="2">
        <v>43203.45</v>
      </c>
    </row>
    <row r="241" spans="1:11" s="4" customFormat="1" ht="9.75" customHeight="1">
      <c r="A241" s="4">
        <v>2421</v>
      </c>
      <c r="B241" s="10">
        <v>500004</v>
      </c>
      <c r="C241" s="1" t="s">
        <v>101</v>
      </c>
      <c r="D241" s="3">
        <v>46173</v>
      </c>
      <c r="E241" s="4" t="s">
        <v>21</v>
      </c>
      <c r="F241" s="5" t="s">
        <v>22</v>
      </c>
      <c r="G241" s="33" t="s">
        <v>29</v>
      </c>
      <c r="H241" s="2">
        <v>648.05000000000291</v>
      </c>
      <c r="I241" s="2"/>
    </row>
    <row r="242" spans="1:11" s="4" customFormat="1" ht="9.75" customHeight="1">
      <c r="A242" s="4">
        <v>2422</v>
      </c>
      <c r="B242" s="10">
        <v>500004</v>
      </c>
      <c r="C242" s="1" t="s">
        <v>101</v>
      </c>
      <c r="D242" s="3">
        <v>46173</v>
      </c>
      <c r="E242" s="4" t="s">
        <v>68</v>
      </c>
      <c r="F242" s="5" t="s">
        <v>69</v>
      </c>
      <c r="G242" s="33" t="s">
        <v>29</v>
      </c>
      <c r="H242" s="2">
        <v>0</v>
      </c>
      <c r="I242" s="2">
        <v>648.05000000000291</v>
      </c>
    </row>
    <row r="243" spans="1:11" s="4" customFormat="1" ht="9.75" customHeight="1">
      <c r="A243" s="4">
        <v>2423</v>
      </c>
      <c r="B243" s="10">
        <v>500004</v>
      </c>
      <c r="C243" s="1" t="s">
        <v>98</v>
      </c>
      <c r="D243" s="3">
        <v>46173</v>
      </c>
      <c r="E243" s="4" t="s">
        <v>23</v>
      </c>
      <c r="F243" s="5" t="s">
        <v>33</v>
      </c>
      <c r="G243" s="33" t="s">
        <v>30</v>
      </c>
      <c r="H243" s="2">
        <v>0</v>
      </c>
      <c r="I243" s="2">
        <v>38120.559999999998</v>
      </c>
      <c r="K243" s="14"/>
    </row>
    <row r="244" spans="1:11" s="4" customFormat="1" ht="9.75" customHeight="1">
      <c r="A244" s="4">
        <v>2424</v>
      </c>
      <c r="B244" s="10">
        <v>500004</v>
      </c>
      <c r="C244" s="1" t="s">
        <v>98</v>
      </c>
      <c r="D244" s="3">
        <v>46173</v>
      </c>
      <c r="E244" s="4" t="s">
        <v>23</v>
      </c>
      <c r="F244" s="5" t="s">
        <v>33</v>
      </c>
      <c r="G244" s="33" t="s">
        <v>30</v>
      </c>
      <c r="H244" s="2">
        <v>0</v>
      </c>
      <c r="I244" s="2">
        <v>54937.16</v>
      </c>
    </row>
    <row r="245" spans="1:11" s="4" customFormat="1" ht="9.75" customHeight="1">
      <c r="A245" s="4">
        <v>2425</v>
      </c>
      <c r="B245" s="10">
        <v>500004</v>
      </c>
      <c r="C245" s="1" t="s">
        <v>102</v>
      </c>
      <c r="D245" s="3">
        <v>46173</v>
      </c>
      <c r="E245" s="4" t="s">
        <v>21</v>
      </c>
      <c r="F245" s="5" t="s">
        <v>22</v>
      </c>
      <c r="G245" s="33" t="s">
        <v>30</v>
      </c>
      <c r="H245" s="2">
        <v>824.05999999999767</v>
      </c>
      <c r="I245" s="2"/>
    </row>
    <row r="246" spans="1:11" s="4" customFormat="1" ht="9.75" customHeight="1">
      <c r="A246" s="4">
        <v>2426</v>
      </c>
      <c r="B246" s="10">
        <v>500004</v>
      </c>
      <c r="C246" s="1" t="s">
        <v>102</v>
      </c>
      <c r="D246" s="3">
        <v>46173</v>
      </c>
      <c r="E246" s="4" t="s">
        <v>68</v>
      </c>
      <c r="F246" s="5" t="s">
        <v>69</v>
      </c>
      <c r="G246" s="33" t="s">
        <v>30</v>
      </c>
      <c r="H246" s="2">
        <v>0</v>
      </c>
      <c r="I246" s="2">
        <v>824.05999999999767</v>
      </c>
    </row>
    <row r="247" spans="1:11" s="4" customFormat="1" ht="9.75" customHeight="1">
      <c r="A247" s="4">
        <v>2427</v>
      </c>
      <c r="B247" s="10">
        <v>500004</v>
      </c>
      <c r="C247" s="1" t="s">
        <v>98</v>
      </c>
      <c r="D247" s="3">
        <v>46173</v>
      </c>
      <c r="E247" s="4" t="s">
        <v>23</v>
      </c>
      <c r="F247" s="5" t="s">
        <v>33</v>
      </c>
      <c r="G247" s="33" t="s">
        <v>30</v>
      </c>
      <c r="H247" s="2">
        <v>0</v>
      </c>
      <c r="I247" s="2">
        <v>44354.06</v>
      </c>
    </row>
    <row r="248" spans="1:11" s="4" customFormat="1" ht="9.75" customHeight="1">
      <c r="A248" s="4">
        <v>2428</v>
      </c>
      <c r="B248" s="10">
        <v>500004</v>
      </c>
      <c r="C248" s="1" t="s">
        <v>103</v>
      </c>
      <c r="D248" s="3">
        <v>46173</v>
      </c>
      <c r="E248" s="4" t="s">
        <v>21</v>
      </c>
      <c r="F248" s="5" t="s">
        <v>22</v>
      </c>
      <c r="G248" s="33" t="s">
        <v>30</v>
      </c>
      <c r="H248" s="2">
        <v>665.31000000000495</v>
      </c>
      <c r="I248" s="2"/>
    </row>
    <row r="249" spans="1:11" s="4" customFormat="1" ht="9.75" customHeight="1">
      <c r="A249" s="4">
        <v>2429</v>
      </c>
      <c r="B249" s="10">
        <v>500004</v>
      </c>
      <c r="C249" s="1" t="s">
        <v>102</v>
      </c>
      <c r="D249" s="3">
        <v>46173</v>
      </c>
      <c r="E249" s="4" t="s">
        <v>68</v>
      </c>
      <c r="F249" s="5" t="s">
        <v>69</v>
      </c>
      <c r="G249" s="33" t="s">
        <v>30</v>
      </c>
      <c r="H249" s="2">
        <v>0</v>
      </c>
      <c r="I249" s="2">
        <v>665.31000000000495</v>
      </c>
    </row>
    <row r="250" spans="1:11" s="4" customFormat="1" ht="9.75" customHeight="1">
      <c r="A250" s="4">
        <v>2430</v>
      </c>
      <c r="B250" s="10">
        <v>500004</v>
      </c>
      <c r="C250" s="1" t="s">
        <v>98</v>
      </c>
      <c r="D250" s="3">
        <v>46173</v>
      </c>
      <c r="E250" s="4" t="s">
        <v>23</v>
      </c>
      <c r="F250" s="5" t="s">
        <v>33</v>
      </c>
      <c r="G250" s="33" t="s">
        <v>30</v>
      </c>
      <c r="H250" s="2">
        <v>0</v>
      </c>
      <c r="I250" s="2">
        <v>66531.100000000006</v>
      </c>
    </row>
    <row r="251" spans="1:11" s="4" customFormat="1" ht="9.75" customHeight="1">
      <c r="A251" s="4">
        <v>2431</v>
      </c>
      <c r="B251" s="10">
        <v>500005</v>
      </c>
      <c r="C251" s="1" t="s">
        <v>106</v>
      </c>
      <c r="D251" s="3">
        <v>46173</v>
      </c>
      <c r="E251" s="4" t="s">
        <v>23</v>
      </c>
      <c r="F251" s="5" t="s">
        <v>34</v>
      </c>
      <c r="G251" s="33" t="s">
        <v>31</v>
      </c>
      <c r="H251" s="2">
        <v>20071.740000000002</v>
      </c>
      <c r="I251" s="2">
        <v>0</v>
      </c>
    </row>
    <row r="252" spans="1:11" s="4" customFormat="1" ht="9.75" customHeight="1">
      <c r="A252" s="4">
        <v>2432</v>
      </c>
      <c r="B252" s="10">
        <v>500005</v>
      </c>
      <c r="C252" s="1" t="s">
        <v>107</v>
      </c>
      <c r="D252" s="3">
        <v>46173</v>
      </c>
      <c r="E252" s="4" t="s">
        <v>23</v>
      </c>
      <c r="F252" s="5" t="s">
        <v>34</v>
      </c>
      <c r="G252" s="33" t="s">
        <v>31</v>
      </c>
      <c r="H252" s="2">
        <v>22519.52</v>
      </c>
      <c r="I252" s="2">
        <v>0</v>
      </c>
    </row>
    <row r="253" spans="1:11" s="4" customFormat="1" ht="9.75" customHeight="1">
      <c r="A253" s="4">
        <v>2433</v>
      </c>
      <c r="B253" s="10">
        <v>500005</v>
      </c>
      <c r="C253" s="1" t="s">
        <v>108</v>
      </c>
      <c r="D253" s="3">
        <v>46173</v>
      </c>
      <c r="E253" s="4" t="s">
        <v>23</v>
      </c>
      <c r="F253" s="5" t="s">
        <v>34</v>
      </c>
      <c r="G253" s="33" t="s">
        <v>31</v>
      </c>
      <c r="H253" s="2">
        <v>27135.71</v>
      </c>
      <c r="I253" s="2">
        <v>0</v>
      </c>
    </row>
    <row r="254" spans="1:11" s="4" customFormat="1" ht="9.75" customHeight="1">
      <c r="A254" s="4">
        <v>2434</v>
      </c>
      <c r="B254" s="10">
        <v>500005</v>
      </c>
      <c r="C254" s="1" t="s">
        <v>109</v>
      </c>
      <c r="D254" s="3">
        <v>46173</v>
      </c>
      <c r="E254" s="4" t="s">
        <v>23</v>
      </c>
      <c r="F254" s="5" t="s">
        <v>34</v>
      </c>
      <c r="G254" s="33" t="s">
        <v>31</v>
      </c>
      <c r="H254" s="2">
        <v>55984.41</v>
      </c>
      <c r="I254" s="2">
        <v>0</v>
      </c>
    </row>
    <row r="255" spans="1:11" s="4" customFormat="1" ht="9.75" customHeight="1">
      <c r="A255" s="4">
        <v>2435</v>
      </c>
      <c r="B255" s="10">
        <v>500005</v>
      </c>
      <c r="C255" s="1" t="s">
        <v>110</v>
      </c>
      <c r="D255" s="3">
        <v>46173</v>
      </c>
      <c r="E255" s="4" t="s">
        <v>23</v>
      </c>
      <c r="F255" s="5" t="s">
        <v>34</v>
      </c>
      <c r="G255" s="33" t="s">
        <v>31</v>
      </c>
      <c r="H255" s="2">
        <v>102157.46</v>
      </c>
      <c r="I255" s="2">
        <v>0</v>
      </c>
    </row>
    <row r="256" spans="1:11" s="4" customFormat="1" ht="9.75" customHeight="1">
      <c r="A256" s="4">
        <v>2436</v>
      </c>
      <c r="B256" s="10">
        <v>500005</v>
      </c>
      <c r="C256" s="1" t="s">
        <v>111</v>
      </c>
      <c r="D256" s="3">
        <v>46173</v>
      </c>
      <c r="E256" s="4" t="s">
        <v>23</v>
      </c>
      <c r="F256" s="5" t="s">
        <v>34</v>
      </c>
      <c r="G256" s="33" t="s">
        <v>31</v>
      </c>
      <c r="H256" s="2">
        <v>103592.38</v>
      </c>
      <c r="I256" s="2">
        <v>0</v>
      </c>
    </row>
    <row r="257" spans="1:9" s="4" customFormat="1" ht="9.75" customHeight="1">
      <c r="A257" s="4">
        <v>2437</v>
      </c>
      <c r="B257" s="10">
        <v>500005</v>
      </c>
      <c r="C257" s="1" t="s">
        <v>112</v>
      </c>
      <c r="D257" s="3">
        <v>46173</v>
      </c>
      <c r="E257" s="4" t="s">
        <v>23</v>
      </c>
      <c r="F257" s="5" t="s">
        <v>34</v>
      </c>
      <c r="G257" s="33" t="s">
        <v>31</v>
      </c>
      <c r="H257" s="2">
        <f>63551.53-10020</f>
        <v>53531.53</v>
      </c>
      <c r="I257" s="2">
        <v>0</v>
      </c>
    </row>
    <row r="258" spans="1:9" s="4" customFormat="1" ht="9.75" customHeight="1">
      <c r="A258" s="4">
        <v>2438</v>
      </c>
      <c r="B258" s="10">
        <v>500005</v>
      </c>
      <c r="C258" s="1" t="s">
        <v>113</v>
      </c>
      <c r="D258" s="3">
        <v>46173</v>
      </c>
      <c r="E258" s="4" t="s">
        <v>23</v>
      </c>
      <c r="F258" s="5" t="s">
        <v>34</v>
      </c>
      <c r="G258" s="33" t="s">
        <v>31</v>
      </c>
      <c r="H258" s="2">
        <v>63660.56</v>
      </c>
      <c r="I258" s="2">
        <v>0</v>
      </c>
    </row>
    <row r="259" spans="1:9" s="4" customFormat="1" ht="9.75" customHeight="1">
      <c r="A259" s="4">
        <v>2439</v>
      </c>
      <c r="B259" s="10">
        <v>500005</v>
      </c>
      <c r="C259" s="1" t="s">
        <v>114</v>
      </c>
      <c r="D259" s="3">
        <v>46173</v>
      </c>
      <c r="E259" s="4" t="s">
        <v>23</v>
      </c>
      <c r="F259" s="5" t="s">
        <v>34</v>
      </c>
      <c r="G259" s="33" t="s">
        <v>31</v>
      </c>
      <c r="H259" s="2">
        <v>58355.519999999997</v>
      </c>
      <c r="I259" s="2">
        <v>0</v>
      </c>
    </row>
    <row r="260" spans="1:9" s="4" customFormat="1" ht="9.75" customHeight="1">
      <c r="A260" s="4">
        <v>2440</v>
      </c>
      <c r="B260" s="10">
        <v>500005</v>
      </c>
      <c r="C260" s="1" t="s">
        <v>115</v>
      </c>
      <c r="D260" s="3">
        <v>46173</v>
      </c>
      <c r="E260" s="4" t="s">
        <v>23</v>
      </c>
      <c r="F260" s="5" t="s">
        <v>34</v>
      </c>
      <c r="G260" s="33" t="s">
        <v>31</v>
      </c>
      <c r="H260" s="2">
        <v>39209.72</v>
      </c>
      <c r="I260" s="2">
        <v>0</v>
      </c>
    </row>
    <row r="261" spans="1:9" s="4" customFormat="1" ht="9.75" customHeight="1">
      <c r="A261" s="4">
        <v>2441</v>
      </c>
      <c r="B261" s="10">
        <v>500005</v>
      </c>
      <c r="C261" s="1" t="s">
        <v>116</v>
      </c>
      <c r="D261" s="3">
        <v>46173</v>
      </c>
      <c r="E261" s="4" t="s">
        <v>23</v>
      </c>
      <c r="F261" s="5" t="s">
        <v>34</v>
      </c>
      <c r="G261" s="33" t="s">
        <v>31</v>
      </c>
      <c r="H261" s="2">
        <v>65924.59</v>
      </c>
      <c r="I261" s="2">
        <v>0</v>
      </c>
    </row>
    <row r="262" spans="1:9" s="4" customFormat="1" ht="9.75" customHeight="1">
      <c r="A262" s="4">
        <v>2442</v>
      </c>
      <c r="B262" s="10">
        <v>500005</v>
      </c>
      <c r="C262" s="1" t="s">
        <v>117</v>
      </c>
      <c r="D262" s="3">
        <v>46173</v>
      </c>
      <c r="E262" s="4" t="s">
        <v>23</v>
      </c>
      <c r="F262" s="5" t="s">
        <v>34</v>
      </c>
      <c r="G262" s="33" t="s">
        <v>31</v>
      </c>
      <c r="H262" s="2">
        <v>64313.39</v>
      </c>
      <c r="I262" s="2">
        <v>0</v>
      </c>
    </row>
    <row r="263" spans="1:9" s="4" customFormat="1" ht="9.75" customHeight="1">
      <c r="A263" s="4">
        <v>2443</v>
      </c>
      <c r="B263" s="10">
        <v>500005</v>
      </c>
      <c r="C263" s="1" t="s">
        <v>118</v>
      </c>
      <c r="D263" s="3">
        <v>46173</v>
      </c>
      <c r="E263" s="4" t="s">
        <v>21</v>
      </c>
      <c r="F263" s="5" t="s">
        <v>22</v>
      </c>
      <c r="G263" s="33" t="s">
        <v>31</v>
      </c>
      <c r="H263" s="2">
        <v>0</v>
      </c>
      <c r="I263" s="2">
        <f>SUM(H251:H262)</f>
        <v>676456.53</v>
      </c>
    </row>
    <row r="264" spans="1:9" s="4" customFormat="1" ht="9.75" customHeight="1">
      <c r="A264" s="4">
        <v>2444</v>
      </c>
      <c r="B264" s="10">
        <v>500005</v>
      </c>
      <c r="C264" s="1" t="s">
        <v>147</v>
      </c>
      <c r="D264" s="3">
        <v>46145</v>
      </c>
      <c r="E264" s="4" t="s">
        <v>9</v>
      </c>
      <c r="F264" s="5" t="s">
        <v>10</v>
      </c>
      <c r="G264" s="33">
        <v>677259019427</v>
      </c>
      <c r="H264" s="2">
        <v>20071.740000000002</v>
      </c>
      <c r="I264" s="2">
        <v>0</v>
      </c>
    </row>
    <row r="265" spans="1:9" s="4" customFormat="1" ht="9.75" customHeight="1">
      <c r="A265" s="4">
        <v>2445</v>
      </c>
      <c r="B265" s="10">
        <v>500005</v>
      </c>
      <c r="C265" s="1" t="s">
        <v>18</v>
      </c>
      <c r="D265" s="3">
        <v>46146</v>
      </c>
      <c r="E265" s="4" t="s">
        <v>9</v>
      </c>
      <c r="F265" s="5" t="s">
        <v>10</v>
      </c>
      <c r="G265" s="33">
        <v>677261631168</v>
      </c>
      <c r="H265" s="2">
        <v>22519.52</v>
      </c>
      <c r="I265" s="2">
        <v>0</v>
      </c>
    </row>
    <row r="266" spans="1:9" s="4" customFormat="1" ht="9.75" customHeight="1">
      <c r="A266" s="4">
        <v>2446</v>
      </c>
      <c r="B266" s="10">
        <v>500005</v>
      </c>
      <c r="C266" s="1" t="s">
        <v>147</v>
      </c>
      <c r="D266" s="3">
        <v>46148</v>
      </c>
      <c r="E266" s="4" t="s">
        <v>9</v>
      </c>
      <c r="F266" s="5" t="s">
        <v>10</v>
      </c>
      <c r="G266" s="33">
        <v>677265421059</v>
      </c>
      <c r="H266" s="2">
        <v>27135.71</v>
      </c>
      <c r="I266" s="2">
        <v>0</v>
      </c>
    </row>
    <row r="267" spans="1:9" s="4" customFormat="1" ht="9.75" customHeight="1">
      <c r="A267" s="4">
        <v>2447</v>
      </c>
      <c r="B267" s="10">
        <v>500005</v>
      </c>
      <c r="C267" s="1" t="s">
        <v>147</v>
      </c>
      <c r="D267" s="3">
        <v>46150</v>
      </c>
      <c r="E267" s="4" t="s">
        <v>9</v>
      </c>
      <c r="F267" s="5" t="s">
        <v>10</v>
      </c>
      <c r="G267" s="33">
        <v>677269958298</v>
      </c>
      <c r="H267" s="2">
        <v>55984.41</v>
      </c>
      <c r="I267" s="2">
        <v>0</v>
      </c>
    </row>
    <row r="268" spans="1:9" s="4" customFormat="1" ht="9.75" customHeight="1">
      <c r="A268" s="4">
        <v>2448</v>
      </c>
      <c r="B268" s="10">
        <v>500005</v>
      </c>
      <c r="C268" s="1" t="s">
        <v>147</v>
      </c>
      <c r="D268" s="3">
        <v>46156</v>
      </c>
      <c r="E268" s="4" t="s">
        <v>9</v>
      </c>
      <c r="F268" s="5" t="s">
        <v>10</v>
      </c>
      <c r="G268" s="33">
        <v>677281301929</v>
      </c>
      <c r="H268" s="2">
        <v>102157.46</v>
      </c>
      <c r="I268" s="2">
        <v>0</v>
      </c>
    </row>
    <row r="269" spans="1:9" s="4" customFormat="1" ht="9.75" customHeight="1">
      <c r="A269" s="4">
        <v>2449</v>
      </c>
      <c r="B269" s="10">
        <v>500005</v>
      </c>
      <c r="C269" s="1" t="s">
        <v>147</v>
      </c>
      <c r="D269" s="3">
        <v>46160</v>
      </c>
      <c r="E269" s="4" t="s">
        <v>9</v>
      </c>
      <c r="F269" s="5" t="s">
        <v>10</v>
      </c>
      <c r="G269" s="33">
        <v>677291425606</v>
      </c>
      <c r="H269" s="2">
        <v>103592.38</v>
      </c>
      <c r="I269" s="2">
        <v>0</v>
      </c>
    </row>
    <row r="270" spans="1:9" s="4" customFormat="1" ht="9.75" customHeight="1">
      <c r="A270" s="4">
        <v>2450</v>
      </c>
      <c r="B270" s="10">
        <v>500005</v>
      </c>
      <c r="C270" s="1" t="s">
        <v>147</v>
      </c>
      <c r="D270" s="3">
        <v>46163</v>
      </c>
      <c r="E270" s="4" t="s">
        <v>9</v>
      </c>
      <c r="F270" s="5" t="s">
        <v>10</v>
      </c>
      <c r="G270" s="33">
        <v>677295940930</v>
      </c>
      <c r="H270" s="2">
        <v>63551.53</v>
      </c>
      <c r="I270" s="2">
        <v>0</v>
      </c>
    </row>
    <row r="271" spans="1:9" s="4" customFormat="1" ht="9.75" customHeight="1">
      <c r="A271" s="4">
        <v>2451</v>
      </c>
      <c r="B271" s="10">
        <v>500005</v>
      </c>
      <c r="C271" s="1" t="s">
        <v>147</v>
      </c>
      <c r="D271" s="3">
        <v>46166</v>
      </c>
      <c r="E271" s="4" t="s">
        <v>9</v>
      </c>
      <c r="F271" s="5" t="s">
        <v>10</v>
      </c>
      <c r="G271" s="33">
        <v>677203364481</v>
      </c>
      <c r="H271" s="2">
        <v>63660.56</v>
      </c>
      <c r="I271" s="2">
        <v>0</v>
      </c>
    </row>
    <row r="272" spans="1:9" s="4" customFormat="1" ht="9.75" customHeight="1">
      <c r="A272" s="4">
        <v>2452</v>
      </c>
      <c r="B272" s="10">
        <v>500005</v>
      </c>
      <c r="C272" s="1" t="s">
        <v>147</v>
      </c>
      <c r="D272" s="3">
        <v>46167</v>
      </c>
      <c r="E272" s="4" t="s">
        <v>9</v>
      </c>
      <c r="F272" s="5" t="s">
        <v>10</v>
      </c>
      <c r="G272" s="33">
        <v>677206134926</v>
      </c>
      <c r="H272" s="2">
        <v>58355.519999999997</v>
      </c>
      <c r="I272" s="2">
        <v>0</v>
      </c>
    </row>
    <row r="273" spans="1:9" s="4" customFormat="1" ht="9.75" customHeight="1">
      <c r="A273" s="4">
        <v>2453</v>
      </c>
      <c r="B273" s="10">
        <v>500005</v>
      </c>
      <c r="C273" s="1" t="s">
        <v>147</v>
      </c>
      <c r="D273" s="3">
        <v>46170</v>
      </c>
      <c r="E273" s="4" t="s">
        <v>9</v>
      </c>
      <c r="F273" s="5" t="s">
        <v>10</v>
      </c>
      <c r="G273" s="33">
        <v>677210938141</v>
      </c>
      <c r="H273" s="2">
        <v>39209.72</v>
      </c>
      <c r="I273" s="2">
        <v>0</v>
      </c>
    </row>
    <row r="274" spans="1:9" s="4" customFormat="1" ht="9.75" customHeight="1">
      <c r="A274" s="4">
        <v>2454</v>
      </c>
      <c r="B274" s="10">
        <v>500005</v>
      </c>
      <c r="C274" s="1" t="s">
        <v>147</v>
      </c>
      <c r="D274" s="3">
        <v>46171</v>
      </c>
      <c r="E274" s="4" t="s">
        <v>9</v>
      </c>
      <c r="F274" s="5" t="s">
        <v>10</v>
      </c>
      <c r="G274" s="33">
        <v>677214846842</v>
      </c>
      <c r="H274" s="2">
        <v>65924.59</v>
      </c>
      <c r="I274" s="2">
        <v>0</v>
      </c>
    </row>
    <row r="275" spans="1:9" s="4" customFormat="1" ht="9.75" customHeight="1">
      <c r="A275" s="4">
        <v>2455</v>
      </c>
      <c r="B275" s="10">
        <v>500005</v>
      </c>
      <c r="C275" s="1" t="s">
        <v>147</v>
      </c>
      <c r="D275" s="3">
        <v>46173</v>
      </c>
      <c r="E275" s="4" t="s">
        <v>9</v>
      </c>
      <c r="F275" s="5" t="s">
        <v>10</v>
      </c>
      <c r="G275" s="33">
        <v>677218905127</v>
      </c>
      <c r="H275" s="2">
        <v>64313.39</v>
      </c>
      <c r="I275" s="2">
        <v>0</v>
      </c>
    </row>
    <row r="276" spans="1:9" s="4" customFormat="1" ht="9.75" customHeight="1">
      <c r="A276" s="4">
        <v>2456</v>
      </c>
      <c r="B276" s="10">
        <v>500005</v>
      </c>
      <c r="C276" s="1" t="s">
        <v>81</v>
      </c>
      <c r="D276" s="3">
        <v>46173</v>
      </c>
      <c r="E276" s="4" t="s">
        <v>23</v>
      </c>
      <c r="F276" s="5" t="s">
        <v>34</v>
      </c>
      <c r="G276" s="33" t="s">
        <v>31</v>
      </c>
      <c r="H276" s="2">
        <v>0</v>
      </c>
      <c r="I276" s="2">
        <v>20071.740000000002</v>
      </c>
    </row>
    <row r="277" spans="1:9" s="4" customFormat="1" ht="9.75" customHeight="1">
      <c r="A277" s="4">
        <v>2457</v>
      </c>
      <c r="B277" s="10">
        <v>500005</v>
      </c>
      <c r="C277" s="1" t="s">
        <v>81</v>
      </c>
      <c r="D277" s="3">
        <v>46173</v>
      </c>
      <c r="E277" s="4" t="s">
        <v>23</v>
      </c>
      <c r="F277" s="5" t="s">
        <v>34</v>
      </c>
      <c r="G277" s="33" t="s">
        <v>31</v>
      </c>
      <c r="H277" s="2">
        <v>0</v>
      </c>
      <c r="I277" s="2">
        <v>22519.52</v>
      </c>
    </row>
    <row r="278" spans="1:9" s="4" customFormat="1" ht="9.75" customHeight="1">
      <c r="A278" s="4">
        <v>2458</v>
      </c>
      <c r="B278" s="10">
        <v>500005</v>
      </c>
      <c r="C278" s="1" t="s">
        <v>81</v>
      </c>
      <c r="D278" s="3">
        <v>46173</v>
      </c>
      <c r="E278" s="4" t="s">
        <v>23</v>
      </c>
      <c r="F278" s="5" t="s">
        <v>34</v>
      </c>
      <c r="G278" s="33" t="s">
        <v>31</v>
      </c>
      <c r="H278" s="2">
        <v>0</v>
      </c>
      <c r="I278" s="2">
        <v>27135.71</v>
      </c>
    </row>
    <row r="279" spans="1:9" s="4" customFormat="1" ht="9.75" customHeight="1">
      <c r="A279" s="4">
        <v>2459</v>
      </c>
      <c r="B279" s="10">
        <v>500005</v>
      </c>
      <c r="C279" s="1" t="s">
        <v>81</v>
      </c>
      <c r="D279" s="3">
        <v>46173</v>
      </c>
      <c r="E279" s="4" t="s">
        <v>23</v>
      </c>
      <c r="F279" s="5" t="s">
        <v>34</v>
      </c>
      <c r="G279" s="33" t="s">
        <v>31</v>
      </c>
      <c r="H279" s="2">
        <v>0</v>
      </c>
      <c r="I279" s="2">
        <v>55984.41</v>
      </c>
    </row>
    <row r="280" spans="1:9" s="4" customFormat="1" ht="9.75" customHeight="1">
      <c r="A280" s="4">
        <v>2460</v>
      </c>
      <c r="B280" s="10">
        <v>500005</v>
      </c>
      <c r="C280" s="1" t="s">
        <v>81</v>
      </c>
      <c r="D280" s="3">
        <v>46173</v>
      </c>
      <c r="E280" s="4" t="s">
        <v>23</v>
      </c>
      <c r="F280" s="5" t="s">
        <v>34</v>
      </c>
      <c r="G280" s="33" t="s">
        <v>31</v>
      </c>
      <c r="H280" s="2">
        <v>0</v>
      </c>
      <c r="I280" s="2">
        <v>102157.46</v>
      </c>
    </row>
    <row r="281" spans="1:9" s="4" customFormat="1" ht="9.75" customHeight="1">
      <c r="A281" s="4">
        <v>2461</v>
      </c>
      <c r="B281" s="10">
        <v>500005</v>
      </c>
      <c r="C281" s="1" t="s">
        <v>81</v>
      </c>
      <c r="D281" s="3">
        <v>46173</v>
      </c>
      <c r="E281" s="4" t="s">
        <v>23</v>
      </c>
      <c r="F281" s="5" t="s">
        <v>34</v>
      </c>
      <c r="G281" s="33" t="s">
        <v>31</v>
      </c>
      <c r="H281" s="2">
        <v>0</v>
      </c>
      <c r="I281" s="2">
        <v>103592.38</v>
      </c>
    </row>
    <row r="282" spans="1:9" s="4" customFormat="1" ht="9.75" customHeight="1">
      <c r="A282" s="4">
        <v>2462</v>
      </c>
      <c r="B282" s="10">
        <v>500005</v>
      </c>
      <c r="C282" s="1" t="s">
        <v>81</v>
      </c>
      <c r="D282" s="3">
        <v>46173</v>
      </c>
      <c r="E282" s="4" t="s">
        <v>23</v>
      </c>
      <c r="F282" s="5" t="s">
        <v>34</v>
      </c>
      <c r="G282" s="33" t="s">
        <v>31</v>
      </c>
      <c r="H282" s="2">
        <v>0</v>
      </c>
      <c r="I282" s="2">
        <f>63551.53-10020</f>
        <v>53531.53</v>
      </c>
    </row>
    <row r="283" spans="1:9" s="4" customFormat="1" ht="9.75" customHeight="1">
      <c r="A283" s="4">
        <v>2463</v>
      </c>
      <c r="B283" s="10">
        <v>500005</v>
      </c>
      <c r="C283" s="1" t="s">
        <v>81</v>
      </c>
      <c r="D283" s="3">
        <v>46173</v>
      </c>
      <c r="E283" s="4" t="s">
        <v>23</v>
      </c>
      <c r="F283" s="5" t="s">
        <v>34</v>
      </c>
      <c r="G283" s="33" t="s">
        <v>31</v>
      </c>
      <c r="H283" s="2">
        <v>0</v>
      </c>
      <c r="I283" s="2">
        <v>63660.56</v>
      </c>
    </row>
    <row r="284" spans="1:9" s="4" customFormat="1" ht="9.75" customHeight="1">
      <c r="A284" s="4">
        <v>2464</v>
      </c>
      <c r="B284" s="10">
        <v>500005</v>
      </c>
      <c r="C284" s="1" t="s">
        <v>81</v>
      </c>
      <c r="D284" s="3">
        <v>46173</v>
      </c>
      <c r="E284" s="4" t="s">
        <v>23</v>
      </c>
      <c r="F284" s="5" t="s">
        <v>34</v>
      </c>
      <c r="G284" s="33" t="s">
        <v>31</v>
      </c>
      <c r="H284" s="2">
        <v>0</v>
      </c>
      <c r="I284" s="2">
        <v>58355.519999999997</v>
      </c>
    </row>
    <row r="285" spans="1:9" s="4" customFormat="1" ht="9.75" customHeight="1">
      <c r="A285" s="4">
        <v>2465</v>
      </c>
      <c r="B285" s="10">
        <v>500005</v>
      </c>
      <c r="C285" s="1" t="s">
        <v>81</v>
      </c>
      <c r="D285" s="3">
        <v>46173</v>
      </c>
      <c r="E285" s="4" t="s">
        <v>23</v>
      </c>
      <c r="F285" s="5" t="s">
        <v>34</v>
      </c>
      <c r="G285" s="33" t="s">
        <v>31</v>
      </c>
      <c r="H285" s="2">
        <v>0</v>
      </c>
      <c r="I285" s="2">
        <v>39209.72</v>
      </c>
    </row>
    <row r="286" spans="1:9" s="4" customFormat="1" ht="9.75" customHeight="1">
      <c r="A286" s="4">
        <v>2466</v>
      </c>
      <c r="B286" s="10">
        <v>500005</v>
      </c>
      <c r="C286" s="1" t="s">
        <v>81</v>
      </c>
      <c r="D286" s="3">
        <v>46173</v>
      </c>
      <c r="E286" s="4" t="s">
        <v>23</v>
      </c>
      <c r="F286" s="5" t="s">
        <v>34</v>
      </c>
      <c r="G286" s="33" t="s">
        <v>31</v>
      </c>
      <c r="H286" s="2">
        <v>0</v>
      </c>
      <c r="I286" s="2">
        <v>65924.59</v>
      </c>
    </row>
    <row r="287" spans="1:9" s="4" customFormat="1" ht="9.75" customHeight="1">
      <c r="A287" s="4">
        <v>2467</v>
      </c>
      <c r="B287" s="10">
        <v>500005</v>
      </c>
      <c r="C287" s="1" t="s">
        <v>81</v>
      </c>
      <c r="D287" s="3">
        <v>46173</v>
      </c>
      <c r="E287" s="4" t="s">
        <v>23</v>
      </c>
      <c r="F287" s="5" t="s">
        <v>34</v>
      </c>
      <c r="G287" s="33" t="s">
        <v>31</v>
      </c>
      <c r="H287" s="2">
        <v>0</v>
      </c>
      <c r="I287" s="2">
        <v>64313.39</v>
      </c>
    </row>
    <row r="288" spans="1:9" s="4" customFormat="1" ht="9.75" customHeight="1">
      <c r="A288" s="4">
        <v>2468</v>
      </c>
      <c r="B288" s="10">
        <v>500005</v>
      </c>
      <c r="C288" s="1" t="s">
        <v>81</v>
      </c>
      <c r="D288" s="3">
        <v>46173</v>
      </c>
      <c r="E288" s="4" t="s">
        <v>37</v>
      </c>
      <c r="F288" s="5" t="s">
        <v>38</v>
      </c>
      <c r="G288" s="33" t="s">
        <v>76</v>
      </c>
      <c r="H288" s="2">
        <v>0</v>
      </c>
      <c r="I288" s="2">
        <v>10020</v>
      </c>
    </row>
    <row r="289" spans="1:9" ht="9.9499999999999993" customHeight="1">
      <c r="A289" s="4">
        <v>2469</v>
      </c>
      <c r="B289" s="10">
        <v>500006</v>
      </c>
      <c r="C289" s="1" t="s">
        <v>123</v>
      </c>
      <c r="D289" s="3">
        <v>46155</v>
      </c>
      <c r="E289" s="4" t="s">
        <v>70</v>
      </c>
      <c r="F289" s="5" t="s">
        <v>71</v>
      </c>
      <c r="G289" s="22">
        <v>5995</v>
      </c>
      <c r="H289" s="2">
        <v>46760.5</v>
      </c>
      <c r="I289" s="2">
        <v>0</v>
      </c>
    </row>
    <row r="290" spans="1:9" ht="9.9499999999999993" customHeight="1">
      <c r="A290" s="4">
        <v>2470</v>
      </c>
      <c r="B290" s="10">
        <v>500006</v>
      </c>
      <c r="C290" s="1" t="s">
        <v>123</v>
      </c>
      <c r="D290" s="3">
        <v>46155</v>
      </c>
      <c r="E290" s="4" t="s">
        <v>121</v>
      </c>
      <c r="F290" s="5" t="s">
        <v>122</v>
      </c>
      <c r="G290" s="22">
        <v>5995</v>
      </c>
      <c r="H290" s="2">
        <v>7481.68</v>
      </c>
      <c r="I290" s="2">
        <v>0</v>
      </c>
    </row>
    <row r="291" spans="1:9" ht="9.9499999999999993" customHeight="1">
      <c r="A291" s="4">
        <v>2471</v>
      </c>
      <c r="B291" s="10">
        <v>500006</v>
      </c>
      <c r="C291" s="1" t="s">
        <v>123</v>
      </c>
      <c r="D291" s="3">
        <v>46156</v>
      </c>
      <c r="E291" s="4" t="s">
        <v>119</v>
      </c>
      <c r="F291" s="5" t="s">
        <v>120</v>
      </c>
      <c r="G291" s="22">
        <v>5995</v>
      </c>
      <c r="H291" s="2">
        <v>0</v>
      </c>
      <c r="I291" s="2">
        <f>SUM(H289:H290)</f>
        <v>54242.18</v>
      </c>
    </row>
    <row r="292" spans="1:9" ht="9.9499999999999993" customHeight="1">
      <c r="A292" s="4">
        <v>2472</v>
      </c>
      <c r="B292" s="10">
        <v>500006</v>
      </c>
      <c r="C292" s="1" t="s">
        <v>123</v>
      </c>
      <c r="D292" s="3">
        <v>46156</v>
      </c>
      <c r="E292" s="4" t="s">
        <v>70</v>
      </c>
      <c r="F292" s="5" t="s">
        <v>71</v>
      </c>
      <c r="G292" s="22">
        <v>5996</v>
      </c>
      <c r="H292" s="2">
        <v>22602.46</v>
      </c>
      <c r="I292" s="35">
        <v>0</v>
      </c>
    </row>
    <row r="293" spans="1:9" ht="9.9499999999999993" customHeight="1">
      <c r="A293" s="4">
        <v>2473</v>
      </c>
      <c r="B293" s="10">
        <v>500006</v>
      </c>
      <c r="C293" s="1" t="s">
        <v>123</v>
      </c>
      <c r="D293" s="3">
        <v>46156</v>
      </c>
      <c r="E293" s="4" t="s">
        <v>121</v>
      </c>
      <c r="F293" s="5" t="s">
        <v>122</v>
      </c>
      <c r="G293" s="22">
        <v>5996</v>
      </c>
      <c r="H293" s="2">
        <v>3616.3935999999999</v>
      </c>
      <c r="I293" s="2">
        <v>0</v>
      </c>
    </row>
    <row r="294" spans="1:9" ht="9.9499999999999993" customHeight="1">
      <c r="A294" s="4">
        <v>2474</v>
      </c>
      <c r="B294" s="10">
        <v>500006</v>
      </c>
      <c r="C294" s="1" t="s">
        <v>123</v>
      </c>
      <c r="D294" s="3">
        <v>46156</v>
      </c>
      <c r="E294" s="4" t="s">
        <v>119</v>
      </c>
      <c r="F294" s="5" t="s">
        <v>120</v>
      </c>
      <c r="G294" s="22">
        <v>5996</v>
      </c>
      <c r="H294" s="2">
        <v>0</v>
      </c>
      <c r="I294" s="2">
        <f>SUM(H292:H293)</f>
        <v>26218.853599999999</v>
      </c>
    </row>
    <row r="295" spans="1:9" ht="9.9499999999999993" customHeight="1">
      <c r="A295" s="4">
        <v>2475</v>
      </c>
      <c r="B295" s="10">
        <v>500006</v>
      </c>
      <c r="C295" s="1" t="s">
        <v>123</v>
      </c>
      <c r="D295" s="3">
        <v>46160</v>
      </c>
      <c r="E295" s="4" t="s">
        <v>70</v>
      </c>
      <c r="F295" s="5" t="s">
        <v>71</v>
      </c>
      <c r="G295" s="22">
        <v>6005</v>
      </c>
      <c r="H295" s="2">
        <v>27152.71</v>
      </c>
      <c r="I295" s="2">
        <v>0</v>
      </c>
    </row>
    <row r="296" spans="1:9" ht="9.9499999999999993" customHeight="1">
      <c r="A296" s="4">
        <v>2476</v>
      </c>
      <c r="B296" s="10">
        <v>500006</v>
      </c>
      <c r="C296" s="1" t="s">
        <v>123</v>
      </c>
      <c r="D296" s="3">
        <v>46160</v>
      </c>
      <c r="E296" s="4" t="s">
        <v>121</v>
      </c>
      <c r="F296" s="5" t="s">
        <v>122</v>
      </c>
      <c r="G296" s="22">
        <v>6005</v>
      </c>
      <c r="H296" s="2">
        <v>4344.4336000000003</v>
      </c>
      <c r="I296" s="2">
        <v>0</v>
      </c>
    </row>
    <row r="297" spans="1:9" ht="9.9499999999999993" customHeight="1">
      <c r="A297" s="4">
        <v>2477</v>
      </c>
      <c r="B297" s="10">
        <v>500006</v>
      </c>
      <c r="C297" s="1" t="s">
        <v>123</v>
      </c>
      <c r="D297" s="3">
        <v>46156</v>
      </c>
      <c r="E297" s="4" t="s">
        <v>119</v>
      </c>
      <c r="F297" s="5" t="s">
        <v>120</v>
      </c>
      <c r="G297" s="22">
        <v>6005</v>
      </c>
      <c r="H297" s="2">
        <v>0</v>
      </c>
      <c r="I297" s="2">
        <f>SUM(H295:H296)</f>
        <v>31497.143599999999</v>
      </c>
    </row>
    <row r="298" spans="1:9" ht="9.9499999999999993" customHeight="1">
      <c r="A298" s="4">
        <v>2478</v>
      </c>
      <c r="B298" s="10">
        <v>500006</v>
      </c>
      <c r="C298" s="1" t="s">
        <v>124</v>
      </c>
      <c r="D298" s="3">
        <v>46162</v>
      </c>
      <c r="E298" s="4" t="s">
        <v>70</v>
      </c>
      <c r="F298" s="5" t="s">
        <v>71</v>
      </c>
      <c r="G298" s="23">
        <v>3665</v>
      </c>
      <c r="H298" s="2">
        <v>362480.43</v>
      </c>
      <c r="I298" s="2"/>
    </row>
    <row r="299" spans="1:9" ht="9.9499999999999993" customHeight="1">
      <c r="A299" s="4">
        <v>2479</v>
      </c>
      <c r="B299" s="10">
        <v>500006</v>
      </c>
      <c r="C299" s="1" t="s">
        <v>124</v>
      </c>
      <c r="D299" s="3">
        <v>46162</v>
      </c>
      <c r="E299" s="4" t="s">
        <v>121</v>
      </c>
      <c r="F299" s="5" t="s">
        <v>122</v>
      </c>
      <c r="G299" s="23">
        <v>3665</v>
      </c>
      <c r="H299" s="2">
        <v>57996.868799999997</v>
      </c>
      <c r="I299" s="2"/>
    </row>
    <row r="300" spans="1:9" ht="9.9499999999999993" customHeight="1">
      <c r="A300" s="4">
        <v>2480</v>
      </c>
      <c r="B300" s="10">
        <v>500006</v>
      </c>
      <c r="C300" s="1" t="s">
        <v>124</v>
      </c>
      <c r="D300" s="3">
        <v>46162</v>
      </c>
      <c r="E300" s="4" t="s">
        <v>119</v>
      </c>
      <c r="F300" s="5" t="s">
        <v>120</v>
      </c>
      <c r="G300" s="23">
        <v>3665</v>
      </c>
      <c r="H300" s="2">
        <v>0</v>
      </c>
      <c r="I300" s="2">
        <f>SUM(H298:H299)</f>
        <v>420477.29879999999</v>
      </c>
    </row>
    <row r="301" spans="1:9" ht="9.9499999999999993" customHeight="1">
      <c r="A301" s="4">
        <v>2481</v>
      </c>
      <c r="B301" s="10">
        <v>500006</v>
      </c>
      <c r="C301" s="1" t="s">
        <v>123</v>
      </c>
      <c r="D301" s="3">
        <v>46164</v>
      </c>
      <c r="E301" s="4" t="s">
        <v>70</v>
      </c>
      <c r="F301" s="5" t="s">
        <v>71</v>
      </c>
      <c r="G301" s="22">
        <v>6016</v>
      </c>
      <c r="H301" s="2">
        <v>12290.6</v>
      </c>
      <c r="I301" s="2">
        <v>0</v>
      </c>
    </row>
    <row r="302" spans="1:9" ht="9.9499999999999993" customHeight="1">
      <c r="A302" s="4">
        <v>2482</v>
      </c>
      <c r="B302" s="10">
        <v>500006</v>
      </c>
      <c r="C302" s="1" t="s">
        <v>123</v>
      </c>
      <c r="D302" s="3">
        <v>46164</v>
      </c>
      <c r="E302" s="4" t="s">
        <v>121</v>
      </c>
      <c r="F302" s="5" t="s">
        <v>122</v>
      </c>
      <c r="G302" s="22">
        <v>6016</v>
      </c>
      <c r="H302" s="2">
        <v>1966.4960000000001</v>
      </c>
      <c r="I302" s="2">
        <v>0</v>
      </c>
    </row>
    <row r="303" spans="1:9" ht="9.9499999999999993" customHeight="1">
      <c r="A303" s="4">
        <v>2483</v>
      </c>
      <c r="B303" s="10">
        <v>500006</v>
      </c>
      <c r="C303" s="1" t="s">
        <v>123</v>
      </c>
      <c r="D303" s="3">
        <v>46164</v>
      </c>
      <c r="E303" s="4" t="s">
        <v>119</v>
      </c>
      <c r="F303" s="5" t="s">
        <v>120</v>
      </c>
      <c r="G303" s="22">
        <v>6016</v>
      </c>
      <c r="H303" s="2">
        <v>0</v>
      </c>
      <c r="I303" s="2">
        <f>SUM(H301:H302)</f>
        <v>14257.096000000001</v>
      </c>
    </row>
    <row r="304" spans="1:9" ht="9.9499999999999993" customHeight="1">
      <c r="A304" s="4">
        <v>2484</v>
      </c>
      <c r="B304" s="10">
        <v>500006</v>
      </c>
      <c r="C304" s="1" t="s">
        <v>125</v>
      </c>
      <c r="D304" s="3">
        <v>46168</v>
      </c>
      <c r="E304" s="4" t="s">
        <v>70</v>
      </c>
      <c r="F304" s="5" t="s">
        <v>71</v>
      </c>
      <c r="G304" s="23">
        <v>446</v>
      </c>
      <c r="H304" s="2">
        <v>56113.82</v>
      </c>
      <c r="I304" s="2">
        <v>0</v>
      </c>
    </row>
    <row r="305" spans="1:9" ht="9.9499999999999993" customHeight="1">
      <c r="A305" s="4">
        <v>2485</v>
      </c>
      <c r="B305" s="10">
        <v>500006</v>
      </c>
      <c r="C305" s="1" t="s">
        <v>125</v>
      </c>
      <c r="D305" s="3">
        <v>46168</v>
      </c>
      <c r="E305" s="4" t="s">
        <v>121</v>
      </c>
      <c r="F305" s="5" t="s">
        <v>122</v>
      </c>
      <c r="G305" s="23">
        <v>446</v>
      </c>
      <c r="H305" s="2">
        <v>8978.2111999999997</v>
      </c>
      <c r="I305" s="2">
        <v>0</v>
      </c>
    </row>
    <row r="306" spans="1:9" ht="9.9499999999999993" customHeight="1">
      <c r="A306" s="4">
        <v>2486</v>
      </c>
      <c r="B306" s="10">
        <v>500006</v>
      </c>
      <c r="C306" s="1" t="s">
        <v>125</v>
      </c>
      <c r="D306" s="3">
        <v>46168</v>
      </c>
      <c r="E306" s="4" t="s">
        <v>119</v>
      </c>
      <c r="F306" s="5" t="s">
        <v>120</v>
      </c>
      <c r="G306" s="23">
        <v>446</v>
      </c>
      <c r="H306" s="2">
        <v>0</v>
      </c>
      <c r="I306" s="2">
        <f>SUM(H304:H305)</f>
        <v>65092.031199999998</v>
      </c>
    </row>
    <row r="307" spans="1:9" ht="9.9499999999999993" customHeight="1">
      <c r="A307" s="4">
        <v>2487</v>
      </c>
      <c r="B307" s="10">
        <v>500006</v>
      </c>
      <c r="C307" s="1" t="s">
        <v>125</v>
      </c>
      <c r="D307" s="3">
        <v>46168</v>
      </c>
      <c r="E307" s="4" t="s">
        <v>70</v>
      </c>
      <c r="F307" s="5" t="s">
        <v>71</v>
      </c>
      <c r="G307" s="24">
        <v>331</v>
      </c>
      <c r="H307" s="2">
        <v>-3692.31</v>
      </c>
      <c r="I307" s="2"/>
    </row>
    <row r="308" spans="1:9" ht="9.9499999999999993" customHeight="1">
      <c r="A308" s="4">
        <v>2488</v>
      </c>
      <c r="B308" s="10">
        <v>500006</v>
      </c>
      <c r="C308" s="1" t="s">
        <v>125</v>
      </c>
      <c r="D308" s="3">
        <v>46168</v>
      </c>
      <c r="E308" s="4" t="s">
        <v>121</v>
      </c>
      <c r="F308" s="5" t="s">
        <v>122</v>
      </c>
      <c r="G308" s="24">
        <v>331</v>
      </c>
      <c r="H308" s="2">
        <v>-590.76959999999997</v>
      </c>
      <c r="I308" s="2"/>
    </row>
    <row r="309" spans="1:9" ht="9.9499999999999993" customHeight="1">
      <c r="A309" s="4">
        <v>2489</v>
      </c>
      <c r="B309" s="10">
        <v>500006</v>
      </c>
      <c r="C309" s="1" t="s">
        <v>125</v>
      </c>
      <c r="D309" s="3">
        <v>46168</v>
      </c>
      <c r="E309" s="4" t="s">
        <v>119</v>
      </c>
      <c r="F309" s="5" t="s">
        <v>120</v>
      </c>
      <c r="G309" s="23">
        <v>331</v>
      </c>
      <c r="H309" s="2">
        <v>0</v>
      </c>
      <c r="I309" s="2">
        <f>SUM(H307:H308)</f>
        <v>-4283.0796</v>
      </c>
    </row>
    <row r="310" spans="1:9" ht="9.9499999999999993" customHeight="1">
      <c r="A310" s="4">
        <v>2490</v>
      </c>
      <c r="B310" s="10">
        <v>500006</v>
      </c>
      <c r="C310" s="1" t="s">
        <v>123</v>
      </c>
      <c r="D310" s="3">
        <v>46169</v>
      </c>
      <c r="E310" s="4" t="s">
        <v>70</v>
      </c>
      <c r="F310" s="5" t="s">
        <v>71</v>
      </c>
      <c r="G310" s="23">
        <v>6024</v>
      </c>
      <c r="H310" s="2">
        <v>13840.65</v>
      </c>
      <c r="I310" s="2">
        <v>0</v>
      </c>
    </row>
    <row r="311" spans="1:9" ht="9.9499999999999993" customHeight="1">
      <c r="A311" s="4">
        <v>2491</v>
      </c>
      <c r="B311" s="10">
        <v>500006</v>
      </c>
      <c r="C311" s="1" t="s">
        <v>123</v>
      </c>
      <c r="D311" s="3">
        <v>46169</v>
      </c>
      <c r="E311" s="4" t="s">
        <v>121</v>
      </c>
      <c r="F311" s="5" t="s">
        <v>122</v>
      </c>
      <c r="G311" s="23">
        <v>6024</v>
      </c>
      <c r="H311" s="2">
        <v>2214.5039999999999</v>
      </c>
      <c r="I311" s="2">
        <v>0</v>
      </c>
    </row>
    <row r="312" spans="1:9" ht="9.9499999999999993" customHeight="1">
      <c r="A312" s="4">
        <v>2492</v>
      </c>
      <c r="B312" s="10">
        <v>500006</v>
      </c>
      <c r="C312" s="1" t="s">
        <v>123</v>
      </c>
      <c r="D312" s="3">
        <v>46169</v>
      </c>
      <c r="E312" s="4" t="s">
        <v>119</v>
      </c>
      <c r="F312" s="5" t="s">
        <v>120</v>
      </c>
      <c r="G312" s="23">
        <v>6024</v>
      </c>
      <c r="H312" s="2">
        <v>0</v>
      </c>
      <c r="I312" s="2">
        <f>SUM(H310:H311)</f>
        <v>16055.153999999999</v>
      </c>
    </row>
    <row r="313" spans="1:9" ht="9.9499999999999993" customHeight="1">
      <c r="A313" s="4">
        <v>2493</v>
      </c>
      <c r="B313" s="10">
        <v>500006</v>
      </c>
      <c r="C313" s="1" t="s">
        <v>124</v>
      </c>
      <c r="D313" s="3">
        <v>46170</v>
      </c>
      <c r="E313" s="4" t="s">
        <v>70</v>
      </c>
      <c r="F313" s="5" t="s">
        <v>71</v>
      </c>
      <c r="G313" s="23">
        <v>3718</v>
      </c>
      <c r="H313" s="2">
        <v>23471.37</v>
      </c>
      <c r="I313" s="2">
        <v>0</v>
      </c>
    </row>
    <row r="314" spans="1:9" ht="9.9499999999999993" customHeight="1">
      <c r="A314" s="4">
        <v>2494</v>
      </c>
      <c r="B314" s="10">
        <v>500006</v>
      </c>
      <c r="C314" s="1" t="s">
        <v>124</v>
      </c>
      <c r="D314" s="3">
        <v>46170</v>
      </c>
      <c r="E314" s="4" t="s">
        <v>121</v>
      </c>
      <c r="F314" s="5" t="s">
        <v>122</v>
      </c>
      <c r="G314" s="23">
        <v>3718</v>
      </c>
      <c r="H314" s="2">
        <v>3755.4191999999998</v>
      </c>
      <c r="I314" s="2">
        <v>0</v>
      </c>
    </row>
    <row r="315" spans="1:9" ht="9.9499999999999993" customHeight="1">
      <c r="A315" s="4">
        <v>2495</v>
      </c>
      <c r="B315" s="10">
        <v>500006</v>
      </c>
      <c r="C315" s="1" t="s">
        <v>124</v>
      </c>
      <c r="D315" s="3">
        <v>46170</v>
      </c>
      <c r="E315" s="4" t="s">
        <v>119</v>
      </c>
      <c r="F315" s="5" t="s">
        <v>120</v>
      </c>
      <c r="G315" s="23">
        <v>3718</v>
      </c>
      <c r="H315" s="2">
        <v>0</v>
      </c>
      <c r="I315" s="2">
        <f>SUM(H313:H314)</f>
        <v>27226.789199999999</v>
      </c>
    </row>
    <row r="316" spans="1:9" ht="9.9499999999999993" customHeight="1">
      <c r="A316" s="4">
        <v>2496</v>
      </c>
      <c r="B316" s="10">
        <v>500006</v>
      </c>
      <c r="C316" s="1" t="s">
        <v>40</v>
      </c>
      <c r="D316" s="3">
        <v>46144</v>
      </c>
      <c r="E316" s="4" t="s">
        <v>119</v>
      </c>
      <c r="F316" s="5" t="s">
        <v>120</v>
      </c>
      <c r="G316" s="23">
        <v>329273500884</v>
      </c>
      <c r="H316" s="2">
        <v>300000</v>
      </c>
      <c r="I316" s="2">
        <v>0</v>
      </c>
    </row>
    <row r="317" spans="1:9" ht="9.9499999999999993" customHeight="1">
      <c r="A317" s="4">
        <v>2497</v>
      </c>
      <c r="B317" s="10">
        <v>500006</v>
      </c>
      <c r="C317" s="1" t="s">
        <v>40</v>
      </c>
      <c r="D317" s="3">
        <v>46144</v>
      </c>
      <c r="E317" s="4" t="s">
        <v>9</v>
      </c>
      <c r="F317" s="5" t="s">
        <v>10</v>
      </c>
      <c r="G317" s="23">
        <v>329273500884</v>
      </c>
      <c r="H317" s="2">
        <v>0</v>
      </c>
      <c r="I317" s="2">
        <v>300000</v>
      </c>
    </row>
    <row r="318" spans="1:9" ht="9.9499999999999993" customHeight="1">
      <c r="A318" s="4">
        <v>2498</v>
      </c>
      <c r="B318" s="10">
        <v>500006</v>
      </c>
      <c r="C318" s="1" t="s">
        <v>126</v>
      </c>
      <c r="D318" s="3">
        <v>46147</v>
      </c>
      <c r="E318" s="4" t="s">
        <v>119</v>
      </c>
      <c r="F318" s="5" t="s">
        <v>120</v>
      </c>
      <c r="G318" s="23">
        <v>329288228422</v>
      </c>
      <c r="H318" s="2">
        <v>20000</v>
      </c>
      <c r="I318" s="2">
        <v>0</v>
      </c>
    </row>
    <row r="319" spans="1:9" ht="9.9499999999999993" customHeight="1">
      <c r="A319" s="4">
        <v>2499</v>
      </c>
      <c r="B319" s="10">
        <v>500006</v>
      </c>
      <c r="C319" s="1" t="s">
        <v>126</v>
      </c>
      <c r="D319" s="3">
        <v>46147</v>
      </c>
      <c r="E319" s="4" t="s">
        <v>9</v>
      </c>
      <c r="F319" s="5" t="s">
        <v>10</v>
      </c>
      <c r="G319" s="23">
        <v>329288228422</v>
      </c>
      <c r="H319" s="2">
        <v>0</v>
      </c>
      <c r="I319" s="2">
        <v>20000</v>
      </c>
    </row>
    <row r="320" spans="1:9" ht="9.9499999999999993" customHeight="1">
      <c r="A320" s="4">
        <v>2500</v>
      </c>
      <c r="B320" s="10">
        <v>500006</v>
      </c>
      <c r="C320" s="1" t="s">
        <v>46</v>
      </c>
      <c r="D320" s="3">
        <v>46150</v>
      </c>
      <c r="E320" s="4" t="s">
        <v>119</v>
      </c>
      <c r="F320" s="5" t="s">
        <v>120</v>
      </c>
      <c r="G320" s="23">
        <v>329290788599</v>
      </c>
      <c r="H320" s="2">
        <v>20000</v>
      </c>
      <c r="I320" s="2">
        <v>0</v>
      </c>
    </row>
    <row r="321" spans="1:9" ht="9.9499999999999993" customHeight="1">
      <c r="A321" s="4">
        <v>2501</v>
      </c>
      <c r="B321" s="10">
        <v>500006</v>
      </c>
      <c r="C321" s="1" t="s">
        <v>46</v>
      </c>
      <c r="D321" s="3">
        <v>46150</v>
      </c>
      <c r="E321" s="4" t="s">
        <v>9</v>
      </c>
      <c r="F321" s="5" t="s">
        <v>10</v>
      </c>
      <c r="G321" s="23">
        <v>329290788599</v>
      </c>
      <c r="H321" s="2">
        <v>0</v>
      </c>
      <c r="I321" s="2">
        <v>20000</v>
      </c>
    </row>
    <row r="322" spans="1:9" ht="9.9499999999999993" customHeight="1">
      <c r="A322" s="4">
        <v>2502</v>
      </c>
      <c r="B322" s="10">
        <v>500006</v>
      </c>
      <c r="C322" s="1" t="s">
        <v>127</v>
      </c>
      <c r="D322" s="3">
        <v>46168</v>
      </c>
      <c r="E322" s="4" t="s">
        <v>119</v>
      </c>
      <c r="F322" s="5" t="s">
        <v>120</v>
      </c>
      <c r="G322" s="34">
        <v>329299137669</v>
      </c>
      <c r="H322" s="2">
        <v>112430.91</v>
      </c>
      <c r="I322" s="2">
        <v>0</v>
      </c>
    </row>
    <row r="323" spans="1:9" ht="9.9499999999999993" customHeight="1">
      <c r="A323" s="4">
        <v>2503</v>
      </c>
      <c r="B323" s="10">
        <v>500006</v>
      </c>
      <c r="C323" s="1" t="s">
        <v>127</v>
      </c>
      <c r="D323" s="3">
        <v>46168</v>
      </c>
      <c r="E323" s="4" t="s">
        <v>9</v>
      </c>
      <c r="F323" s="5" t="s">
        <v>10</v>
      </c>
      <c r="G323" s="34">
        <v>329299137669</v>
      </c>
      <c r="H323" s="2">
        <v>0</v>
      </c>
      <c r="I323" s="2">
        <v>112430.91</v>
      </c>
    </row>
    <row r="324" spans="1:9" ht="9.9499999999999993" customHeight="1">
      <c r="A324" s="4">
        <v>2504</v>
      </c>
      <c r="B324" s="10">
        <v>500006</v>
      </c>
      <c r="C324" s="11" t="s">
        <v>66</v>
      </c>
      <c r="D324" s="3">
        <v>46170</v>
      </c>
      <c r="E324" s="4" t="s">
        <v>119</v>
      </c>
      <c r="F324" s="5" t="s">
        <v>120</v>
      </c>
      <c r="G324" s="34">
        <v>329299337601</v>
      </c>
      <c r="H324" s="2">
        <v>54457.94</v>
      </c>
      <c r="I324" s="2">
        <v>0</v>
      </c>
    </row>
    <row r="325" spans="1:9" ht="9.9499999999999993" customHeight="1">
      <c r="A325" s="4">
        <v>2505</v>
      </c>
      <c r="B325" s="10">
        <v>500006</v>
      </c>
      <c r="C325" s="11" t="s">
        <v>66</v>
      </c>
      <c r="D325" s="3">
        <v>46170</v>
      </c>
      <c r="E325" s="4" t="s">
        <v>9</v>
      </c>
      <c r="F325" s="5" t="s">
        <v>10</v>
      </c>
      <c r="G325" s="34">
        <v>329299337601</v>
      </c>
      <c r="H325" s="2">
        <v>0</v>
      </c>
      <c r="I325" s="2">
        <v>54457.94</v>
      </c>
    </row>
    <row r="326" spans="1:9" ht="9.9499999999999993" customHeight="1">
      <c r="A326" s="4">
        <v>2506</v>
      </c>
      <c r="B326" s="10">
        <v>500006</v>
      </c>
      <c r="C326" s="11" t="s">
        <v>44</v>
      </c>
      <c r="D326" s="3">
        <v>46150</v>
      </c>
      <c r="E326" s="4" t="s">
        <v>119</v>
      </c>
      <c r="F326" s="5" t="s">
        <v>120</v>
      </c>
      <c r="G326" s="34">
        <v>329288598637</v>
      </c>
      <c r="H326" s="2">
        <v>40000</v>
      </c>
      <c r="I326" s="2">
        <v>0</v>
      </c>
    </row>
    <row r="327" spans="1:9" ht="9.9499999999999993" customHeight="1">
      <c r="A327" s="4">
        <v>2507</v>
      </c>
      <c r="B327" s="10">
        <v>500006</v>
      </c>
      <c r="C327" s="11" t="s">
        <v>44</v>
      </c>
      <c r="D327" s="3">
        <v>46150</v>
      </c>
      <c r="E327" s="4" t="s">
        <v>9</v>
      </c>
      <c r="F327" s="5" t="s">
        <v>10</v>
      </c>
      <c r="G327" s="34">
        <v>329288598637</v>
      </c>
      <c r="H327" s="2">
        <v>0</v>
      </c>
      <c r="I327" s="2">
        <v>40000</v>
      </c>
    </row>
    <row r="328" spans="1:9" ht="9.9499999999999993" customHeight="1">
      <c r="A328" s="4">
        <v>2508</v>
      </c>
      <c r="B328" s="10">
        <v>500006</v>
      </c>
      <c r="C328" s="11" t="s">
        <v>52</v>
      </c>
      <c r="D328" s="3">
        <v>46156</v>
      </c>
      <c r="E328" s="4" t="s">
        <v>119</v>
      </c>
      <c r="F328" s="5" t="s">
        <v>120</v>
      </c>
      <c r="G328" s="34">
        <v>329291470608</v>
      </c>
      <c r="H328" s="2">
        <v>51078</v>
      </c>
      <c r="I328" s="2">
        <v>0</v>
      </c>
    </row>
    <row r="329" spans="1:9" ht="9.9499999999999993" customHeight="1">
      <c r="A329" s="4">
        <v>2509</v>
      </c>
      <c r="B329" s="10">
        <v>500006</v>
      </c>
      <c r="C329" s="11" t="s">
        <v>52</v>
      </c>
      <c r="D329" s="3">
        <v>46156</v>
      </c>
      <c r="E329" s="4" t="s">
        <v>9</v>
      </c>
      <c r="F329" s="5" t="s">
        <v>10</v>
      </c>
      <c r="G329" s="34">
        <v>329291470608</v>
      </c>
      <c r="H329" s="2"/>
      <c r="I329" s="2">
        <v>51078</v>
      </c>
    </row>
    <row r="330" spans="1:9" ht="9.9499999999999993" customHeight="1">
      <c r="A330" s="4">
        <v>2510</v>
      </c>
      <c r="B330" s="10">
        <v>500007</v>
      </c>
      <c r="C330" s="11" t="s">
        <v>128</v>
      </c>
      <c r="D330" s="3">
        <v>46168</v>
      </c>
      <c r="E330" s="4" t="s">
        <v>70</v>
      </c>
      <c r="F330" s="5" t="s">
        <v>71</v>
      </c>
      <c r="G330" s="23">
        <v>158</v>
      </c>
      <c r="H330" s="2">
        <v>168339.55</v>
      </c>
      <c r="I330" s="2">
        <v>0</v>
      </c>
    </row>
    <row r="331" spans="1:9" ht="9.9499999999999993" customHeight="1">
      <c r="A331" s="4">
        <v>2511</v>
      </c>
      <c r="B331" s="10">
        <v>500007</v>
      </c>
      <c r="C331" s="11" t="s">
        <v>128</v>
      </c>
      <c r="D331" s="3">
        <v>46168</v>
      </c>
      <c r="E331" s="4" t="s">
        <v>121</v>
      </c>
      <c r="F331" s="5" t="s">
        <v>122</v>
      </c>
      <c r="G331" s="23">
        <v>158</v>
      </c>
      <c r="H331" s="2">
        <v>26934.327999999998</v>
      </c>
      <c r="I331" s="2">
        <v>0</v>
      </c>
    </row>
    <row r="332" spans="1:9" ht="9.9499999999999993" customHeight="1">
      <c r="A332" s="4">
        <v>2512</v>
      </c>
      <c r="B332" s="10">
        <v>500007</v>
      </c>
      <c r="C332" s="11" t="s">
        <v>128</v>
      </c>
      <c r="D332" s="3">
        <v>46168</v>
      </c>
      <c r="E332" s="4" t="s">
        <v>72</v>
      </c>
      <c r="F332" s="5" t="s">
        <v>73</v>
      </c>
      <c r="G332" s="23">
        <v>158</v>
      </c>
      <c r="H332" s="13">
        <v>0</v>
      </c>
      <c r="I332" s="2">
        <f>SUM(H330:H331)</f>
        <v>195273.878</v>
      </c>
    </row>
    <row r="333" spans="1:9" ht="9.9499999999999993" customHeight="1">
      <c r="A333" s="4">
        <v>2513</v>
      </c>
      <c r="B333" s="10">
        <v>500007</v>
      </c>
      <c r="C333" s="11" t="s">
        <v>128</v>
      </c>
      <c r="D333" s="3">
        <v>46168</v>
      </c>
      <c r="E333" s="4" t="s">
        <v>72</v>
      </c>
      <c r="F333" s="5" t="s">
        <v>73</v>
      </c>
      <c r="G333" s="23">
        <v>158</v>
      </c>
      <c r="H333" s="2">
        <v>46202</v>
      </c>
      <c r="I333" s="2">
        <v>0</v>
      </c>
    </row>
    <row r="334" spans="1:9" ht="9.9499999999999993" customHeight="1">
      <c r="A334" s="4">
        <v>2514</v>
      </c>
      <c r="B334" s="10">
        <v>500007</v>
      </c>
      <c r="C334" s="11" t="s">
        <v>41</v>
      </c>
      <c r="D334" s="3">
        <v>46173</v>
      </c>
      <c r="E334" s="4" t="s">
        <v>9</v>
      </c>
      <c r="F334" s="5" t="s">
        <v>10</v>
      </c>
      <c r="G334" s="34">
        <v>27257031167</v>
      </c>
      <c r="H334" s="13">
        <v>0</v>
      </c>
      <c r="I334" s="2">
        <v>46202</v>
      </c>
    </row>
    <row r="335" spans="1:9" ht="9.9499999999999993" customHeight="1">
      <c r="A335" s="4">
        <v>2515</v>
      </c>
      <c r="B335" s="10">
        <v>500008</v>
      </c>
      <c r="C335" s="11" t="s">
        <v>130</v>
      </c>
      <c r="D335" s="3">
        <v>46169</v>
      </c>
      <c r="E335" s="4" t="s">
        <v>70</v>
      </c>
      <c r="F335" s="5" t="s">
        <v>71</v>
      </c>
      <c r="G335" s="23">
        <v>2284</v>
      </c>
      <c r="H335" s="2">
        <v>241638</v>
      </c>
      <c r="I335" s="2">
        <v>0</v>
      </c>
    </row>
    <row r="336" spans="1:9" ht="9.9499999999999993" customHeight="1">
      <c r="A336" s="4">
        <v>2516</v>
      </c>
      <c r="B336" s="10">
        <v>500008</v>
      </c>
      <c r="C336" s="11" t="s">
        <v>130</v>
      </c>
      <c r="D336" s="3">
        <v>46169</v>
      </c>
      <c r="E336" s="4" t="s">
        <v>121</v>
      </c>
      <c r="F336" s="5" t="s">
        <v>122</v>
      </c>
      <c r="G336" s="23">
        <v>2284</v>
      </c>
      <c r="H336" s="2">
        <v>38662.080000000002</v>
      </c>
      <c r="I336" s="2">
        <v>0</v>
      </c>
    </row>
    <row r="337" spans="1:9" ht="9.9499999999999993" customHeight="1">
      <c r="A337" s="4">
        <v>2517</v>
      </c>
      <c r="B337" s="10">
        <v>500008</v>
      </c>
      <c r="C337" s="11" t="s">
        <v>130</v>
      </c>
      <c r="D337" s="3">
        <v>46169</v>
      </c>
      <c r="E337" s="4" t="s">
        <v>72</v>
      </c>
      <c r="F337" s="5" t="s">
        <v>73</v>
      </c>
      <c r="G337" s="23">
        <v>2284</v>
      </c>
      <c r="H337" s="13">
        <v>0</v>
      </c>
      <c r="I337" s="2">
        <f>SUM(H335:H336)</f>
        <v>280300.08</v>
      </c>
    </row>
    <row r="338" spans="1:9" ht="9.9499999999999993" customHeight="1">
      <c r="A338" s="4">
        <v>2518</v>
      </c>
      <c r="B338" s="10">
        <v>500008</v>
      </c>
      <c r="C338" s="11" t="s">
        <v>130</v>
      </c>
      <c r="D338" s="3">
        <v>46169</v>
      </c>
      <c r="E338" s="4" t="s">
        <v>72</v>
      </c>
      <c r="F338" s="5" t="s">
        <v>73</v>
      </c>
      <c r="G338" s="23">
        <v>2284</v>
      </c>
      <c r="H338" s="13">
        <v>105096</v>
      </c>
      <c r="I338" s="35">
        <v>0</v>
      </c>
    </row>
    <row r="339" spans="1:9" ht="9.9499999999999993" customHeight="1">
      <c r="A339" s="4">
        <v>2519</v>
      </c>
      <c r="B339" s="10">
        <v>500008</v>
      </c>
      <c r="C339" s="11" t="s">
        <v>43</v>
      </c>
      <c r="D339" s="3">
        <v>46149</v>
      </c>
      <c r="E339" s="4" t="s">
        <v>9</v>
      </c>
      <c r="F339" s="5" t="s">
        <v>10</v>
      </c>
      <c r="G339" s="34">
        <v>429715410459</v>
      </c>
      <c r="H339" s="35">
        <v>0</v>
      </c>
      <c r="I339" s="13">
        <v>105096</v>
      </c>
    </row>
    <row r="340" spans="1:9" ht="9.9499999999999993" customHeight="1">
      <c r="A340" s="4">
        <v>2520</v>
      </c>
      <c r="B340" s="10">
        <v>500009</v>
      </c>
      <c r="C340" s="25" t="s">
        <v>131</v>
      </c>
      <c r="D340" s="3">
        <v>46168</v>
      </c>
      <c r="E340" s="4" t="s">
        <v>70</v>
      </c>
      <c r="F340" s="5" t="s">
        <v>71</v>
      </c>
      <c r="G340" s="26">
        <v>7</v>
      </c>
      <c r="H340" s="13">
        <v>82802</v>
      </c>
      <c r="I340" s="13">
        <v>0</v>
      </c>
    </row>
    <row r="341" spans="1:9" ht="9.9499999999999993" customHeight="1">
      <c r="A341" s="4">
        <v>2521</v>
      </c>
      <c r="B341" s="10">
        <v>500009</v>
      </c>
      <c r="C341" s="25" t="s">
        <v>131</v>
      </c>
      <c r="D341" s="3">
        <v>46168</v>
      </c>
      <c r="E341" s="4" t="s">
        <v>121</v>
      </c>
      <c r="F341" s="5" t="s">
        <v>122</v>
      </c>
      <c r="G341" s="26">
        <v>7</v>
      </c>
      <c r="H341" s="13">
        <v>13248.32</v>
      </c>
      <c r="I341" s="13">
        <v>0</v>
      </c>
    </row>
    <row r="342" spans="1:9" ht="9.9499999999999993" customHeight="1">
      <c r="A342" s="4">
        <v>2522</v>
      </c>
      <c r="B342" s="10">
        <v>500009</v>
      </c>
      <c r="C342" s="25" t="s">
        <v>131</v>
      </c>
      <c r="D342" s="3">
        <v>46168</v>
      </c>
      <c r="E342" s="4" t="s">
        <v>72</v>
      </c>
      <c r="F342" s="5" t="s">
        <v>73</v>
      </c>
      <c r="G342" s="26">
        <v>7</v>
      </c>
      <c r="H342" s="13">
        <v>0</v>
      </c>
      <c r="I342" s="13">
        <f>SUM(H340:H341)</f>
        <v>96050.32</v>
      </c>
    </row>
    <row r="343" spans="1:9" ht="9.9499999999999993" customHeight="1">
      <c r="A343" s="4">
        <v>2523</v>
      </c>
      <c r="B343" s="10">
        <v>500009</v>
      </c>
      <c r="C343" s="25" t="s">
        <v>131</v>
      </c>
      <c r="D343" s="3">
        <v>46171</v>
      </c>
      <c r="E343" s="4" t="s">
        <v>70</v>
      </c>
      <c r="F343" s="5" t="s">
        <v>71</v>
      </c>
      <c r="G343" s="26">
        <v>8</v>
      </c>
      <c r="H343" s="13">
        <v>330344.21000000002</v>
      </c>
      <c r="I343" s="13">
        <v>0</v>
      </c>
    </row>
    <row r="344" spans="1:9" ht="9.9499999999999993" customHeight="1">
      <c r="A344" s="4">
        <v>2524</v>
      </c>
      <c r="B344" s="10">
        <v>500009</v>
      </c>
      <c r="C344" s="25" t="s">
        <v>131</v>
      </c>
      <c r="D344" s="3">
        <v>46171</v>
      </c>
      <c r="E344" s="4" t="s">
        <v>121</v>
      </c>
      <c r="F344" s="5" t="s">
        <v>122</v>
      </c>
      <c r="G344" s="26">
        <v>8</v>
      </c>
      <c r="H344" s="13">
        <v>52855.073600000003</v>
      </c>
      <c r="I344" s="13">
        <v>0</v>
      </c>
    </row>
    <row r="345" spans="1:9" ht="9.9499999999999993" customHeight="1">
      <c r="A345" s="4">
        <v>2525</v>
      </c>
      <c r="B345" s="10">
        <v>500009</v>
      </c>
      <c r="C345" s="25" t="s">
        <v>131</v>
      </c>
      <c r="D345" s="3">
        <v>46171</v>
      </c>
      <c r="E345" s="4" t="s">
        <v>72</v>
      </c>
      <c r="F345" s="5" t="s">
        <v>73</v>
      </c>
      <c r="G345" s="26">
        <v>8</v>
      </c>
      <c r="H345" s="35">
        <v>0</v>
      </c>
      <c r="I345" s="13">
        <f>SUM(H343:H344)</f>
        <v>383199.28360000002</v>
      </c>
    </row>
    <row r="346" spans="1:9" ht="9.9499999999999993" customHeight="1">
      <c r="A346" s="4">
        <v>2526</v>
      </c>
      <c r="B346" s="10">
        <v>500009</v>
      </c>
      <c r="C346" s="25" t="s">
        <v>131</v>
      </c>
      <c r="D346" s="3">
        <v>46168</v>
      </c>
      <c r="E346" s="4" t="s">
        <v>72</v>
      </c>
      <c r="F346" s="5" t="s">
        <v>73</v>
      </c>
      <c r="G346" s="26">
        <v>7</v>
      </c>
      <c r="H346" s="13">
        <v>54905</v>
      </c>
      <c r="I346" s="13">
        <v>0</v>
      </c>
    </row>
    <row r="347" spans="1:9" ht="9.9499999999999993" customHeight="1">
      <c r="A347" s="4">
        <v>2527</v>
      </c>
      <c r="B347" s="10">
        <v>500009</v>
      </c>
      <c r="C347" s="25" t="s">
        <v>131</v>
      </c>
      <c r="D347" s="3">
        <v>46168</v>
      </c>
      <c r="E347" s="4" t="s">
        <v>72</v>
      </c>
      <c r="F347" s="5" t="s">
        <v>73</v>
      </c>
      <c r="G347" s="26">
        <v>7</v>
      </c>
      <c r="H347" s="13">
        <v>27897</v>
      </c>
      <c r="I347" s="13">
        <v>0</v>
      </c>
    </row>
    <row r="348" spans="1:9" ht="9.9499999999999993" customHeight="1">
      <c r="A348" s="4">
        <v>2528</v>
      </c>
      <c r="B348" s="10">
        <v>500009</v>
      </c>
      <c r="C348" s="25" t="s">
        <v>131</v>
      </c>
      <c r="D348" s="3">
        <v>46168</v>
      </c>
      <c r="E348" s="4" t="s">
        <v>129</v>
      </c>
      <c r="F348" s="5" t="s">
        <v>73</v>
      </c>
      <c r="G348" s="26">
        <v>8</v>
      </c>
      <c r="H348" s="13">
        <v>122075</v>
      </c>
      <c r="I348" s="13">
        <v>0</v>
      </c>
    </row>
    <row r="349" spans="1:9" ht="9.9499999999999993" customHeight="1">
      <c r="A349" s="4">
        <v>2529</v>
      </c>
      <c r="B349" s="10">
        <v>500009</v>
      </c>
      <c r="C349" s="25" t="s">
        <v>131</v>
      </c>
      <c r="D349" s="3">
        <v>46168</v>
      </c>
      <c r="E349" s="4" t="s">
        <v>129</v>
      </c>
      <c r="F349" s="5" t="s">
        <v>73</v>
      </c>
      <c r="G349" s="26">
        <v>8</v>
      </c>
      <c r="H349" s="13">
        <v>140000</v>
      </c>
      <c r="I349" s="13">
        <v>0</v>
      </c>
    </row>
    <row r="350" spans="1:9" ht="9.9499999999999993" customHeight="1">
      <c r="A350" s="4">
        <v>2530</v>
      </c>
      <c r="B350" s="10">
        <v>500009</v>
      </c>
      <c r="C350" s="11" t="s">
        <v>45</v>
      </c>
      <c r="D350" s="12">
        <v>46150</v>
      </c>
      <c r="E350" s="4" t="s">
        <v>9</v>
      </c>
      <c r="F350" s="5" t="s">
        <v>10</v>
      </c>
      <c r="G350" s="7">
        <v>329290756442</v>
      </c>
      <c r="H350" s="35">
        <v>0</v>
      </c>
      <c r="I350" s="13">
        <v>54905</v>
      </c>
    </row>
    <row r="351" spans="1:9" ht="9.9499999999999993" customHeight="1">
      <c r="A351" s="4">
        <v>2531</v>
      </c>
      <c r="B351" s="10">
        <v>500009</v>
      </c>
      <c r="C351" s="11" t="s">
        <v>61</v>
      </c>
      <c r="D351" s="12">
        <v>46163</v>
      </c>
      <c r="E351" s="4" t="s">
        <v>9</v>
      </c>
      <c r="F351" s="5" t="s">
        <v>10</v>
      </c>
      <c r="G351" s="7">
        <v>329295456502</v>
      </c>
      <c r="H351" s="35">
        <v>0</v>
      </c>
      <c r="I351" s="13">
        <v>27897</v>
      </c>
    </row>
    <row r="352" spans="1:9" ht="9.9499999999999993" customHeight="1">
      <c r="A352" s="4">
        <v>2532</v>
      </c>
      <c r="B352" s="10">
        <v>500009</v>
      </c>
      <c r="C352" s="11" t="s">
        <v>62</v>
      </c>
      <c r="D352" s="12">
        <v>46165</v>
      </c>
      <c r="E352" s="4" t="s">
        <v>9</v>
      </c>
      <c r="F352" s="5" t="s">
        <v>10</v>
      </c>
      <c r="G352" s="7">
        <v>429715666687</v>
      </c>
      <c r="H352" s="35">
        <v>0</v>
      </c>
      <c r="I352" s="13">
        <v>122075</v>
      </c>
    </row>
    <row r="353" spans="1:9" ht="9.9499999999999993" customHeight="1">
      <c r="A353" s="4">
        <v>2533</v>
      </c>
      <c r="B353" s="10">
        <v>500009</v>
      </c>
      <c r="C353" s="11" t="s">
        <v>62</v>
      </c>
      <c r="D353" s="12">
        <v>46171</v>
      </c>
      <c r="E353" s="4" t="s">
        <v>9</v>
      </c>
      <c r="F353" s="5" t="s">
        <v>10</v>
      </c>
      <c r="G353" s="7">
        <v>429715759974</v>
      </c>
      <c r="H353" s="35">
        <v>0</v>
      </c>
      <c r="I353" s="13">
        <v>140000</v>
      </c>
    </row>
    <row r="354" spans="1:9" ht="9.9499999999999993" customHeight="1">
      <c r="A354" s="4">
        <v>2534</v>
      </c>
      <c r="B354" s="10">
        <v>500010</v>
      </c>
      <c r="C354" s="25" t="s">
        <v>132</v>
      </c>
      <c r="D354" s="3">
        <v>46167</v>
      </c>
      <c r="E354" s="4" t="s">
        <v>70</v>
      </c>
      <c r="F354" s="5" t="s">
        <v>71</v>
      </c>
      <c r="G354" s="27">
        <v>1</v>
      </c>
      <c r="H354" s="13">
        <v>236770.86</v>
      </c>
      <c r="I354" s="13">
        <v>0</v>
      </c>
    </row>
    <row r="355" spans="1:9" ht="9.9499999999999993" customHeight="1">
      <c r="A355" s="4">
        <v>2535</v>
      </c>
      <c r="B355" s="10">
        <v>500010</v>
      </c>
      <c r="C355" s="25" t="s">
        <v>132</v>
      </c>
      <c r="D355" s="3">
        <v>46167</v>
      </c>
      <c r="E355" s="4" t="s">
        <v>121</v>
      </c>
      <c r="F355" s="5" t="s">
        <v>122</v>
      </c>
      <c r="G355" s="27">
        <v>1</v>
      </c>
      <c r="H355" s="13">
        <v>37883.337599999999</v>
      </c>
      <c r="I355" s="13">
        <v>0</v>
      </c>
    </row>
    <row r="356" spans="1:9" ht="9.9499999999999993" customHeight="1">
      <c r="A356" s="4">
        <v>2536</v>
      </c>
      <c r="B356" s="10">
        <v>500010</v>
      </c>
      <c r="C356" s="25" t="s">
        <v>132</v>
      </c>
      <c r="D356" s="3">
        <v>46167</v>
      </c>
      <c r="E356" s="4" t="s">
        <v>72</v>
      </c>
      <c r="F356" s="5" t="s">
        <v>73</v>
      </c>
      <c r="G356" s="27">
        <v>1</v>
      </c>
      <c r="H356" s="13">
        <v>0</v>
      </c>
      <c r="I356" s="13">
        <f>SUM(H354:H355)</f>
        <v>274654.19759999996</v>
      </c>
    </row>
    <row r="357" spans="1:9" ht="9.9499999999999993" customHeight="1">
      <c r="A357" s="4">
        <v>2537</v>
      </c>
      <c r="B357" s="10">
        <v>500010</v>
      </c>
      <c r="C357" s="25" t="s">
        <v>132</v>
      </c>
      <c r="D357" s="3">
        <v>46167</v>
      </c>
      <c r="E357" s="4" t="s">
        <v>72</v>
      </c>
      <c r="F357" s="5" t="s">
        <v>73</v>
      </c>
      <c r="G357" s="27">
        <v>1</v>
      </c>
      <c r="H357" s="13">
        <f>SUM(I358:I361)</f>
        <v>254289.24</v>
      </c>
      <c r="I357" s="13">
        <v>0</v>
      </c>
    </row>
    <row r="358" spans="1:9" ht="9.9499999999999993" customHeight="1">
      <c r="A358" s="4">
        <v>2538</v>
      </c>
      <c r="B358" s="10">
        <v>500010</v>
      </c>
      <c r="C358" s="11" t="s">
        <v>47</v>
      </c>
      <c r="D358" s="3">
        <v>46152</v>
      </c>
      <c r="E358" s="4" t="s">
        <v>9</v>
      </c>
      <c r="F358" s="5" t="s">
        <v>10</v>
      </c>
      <c r="G358" s="7">
        <v>329290879088</v>
      </c>
      <c r="H358" s="13">
        <v>0</v>
      </c>
      <c r="I358" s="13">
        <v>84976</v>
      </c>
    </row>
    <row r="359" spans="1:9" ht="9.9499999999999993" customHeight="1">
      <c r="A359" s="4">
        <v>2539</v>
      </c>
      <c r="B359" s="10">
        <v>500010</v>
      </c>
      <c r="C359" s="11" t="s">
        <v>53</v>
      </c>
      <c r="D359" s="3">
        <v>46158</v>
      </c>
      <c r="E359" s="4" t="s">
        <v>9</v>
      </c>
      <c r="F359" s="5" t="s">
        <v>10</v>
      </c>
      <c r="G359" s="7">
        <v>329294883581</v>
      </c>
      <c r="H359" s="13">
        <v>0</v>
      </c>
      <c r="I359" s="13">
        <v>51518</v>
      </c>
    </row>
    <row r="360" spans="1:9" ht="9.9499999999999993" customHeight="1">
      <c r="A360" s="4">
        <v>2540</v>
      </c>
      <c r="B360" s="10">
        <v>500010</v>
      </c>
      <c r="C360" s="11" t="s">
        <v>56</v>
      </c>
      <c r="D360" s="3">
        <v>46161</v>
      </c>
      <c r="E360" s="4" t="s">
        <v>9</v>
      </c>
      <c r="F360" s="5" t="s">
        <v>10</v>
      </c>
      <c r="G360" s="7">
        <v>329295038248</v>
      </c>
      <c r="H360" s="13">
        <v>0</v>
      </c>
      <c r="I360" s="13">
        <v>64745.24</v>
      </c>
    </row>
    <row r="361" spans="1:9" ht="9.9499999999999993" customHeight="1">
      <c r="A361" s="4">
        <v>2541</v>
      </c>
      <c r="B361" s="10">
        <v>500010</v>
      </c>
      <c r="C361" s="11" t="s">
        <v>63</v>
      </c>
      <c r="D361" s="3">
        <v>46167</v>
      </c>
      <c r="E361" s="4" t="s">
        <v>9</v>
      </c>
      <c r="F361" s="5" t="s">
        <v>10</v>
      </c>
      <c r="G361" s="7">
        <v>329298960321</v>
      </c>
      <c r="H361" s="13">
        <v>0</v>
      </c>
      <c r="I361" s="13">
        <v>53050</v>
      </c>
    </row>
    <row r="362" spans="1:9" ht="9.9499999999999993" customHeight="1">
      <c r="A362" s="4">
        <v>2542</v>
      </c>
      <c r="B362" s="10">
        <v>500010</v>
      </c>
      <c r="C362" s="11" t="s">
        <v>48</v>
      </c>
      <c r="D362" s="3">
        <v>46153</v>
      </c>
      <c r="E362" s="4" t="s">
        <v>134</v>
      </c>
      <c r="F362" s="5" t="s">
        <v>135</v>
      </c>
      <c r="G362" s="7">
        <v>329290894899</v>
      </c>
      <c r="H362" s="13">
        <v>45541.91</v>
      </c>
      <c r="I362" s="35">
        <v>0</v>
      </c>
    </row>
    <row r="363" spans="1:9" ht="9.75" customHeight="1">
      <c r="A363" s="4">
        <v>2543</v>
      </c>
      <c r="B363" s="10">
        <v>500010</v>
      </c>
      <c r="C363" s="11" t="s">
        <v>48</v>
      </c>
      <c r="D363" s="3">
        <v>46153</v>
      </c>
      <c r="E363" s="4" t="s">
        <v>9</v>
      </c>
      <c r="F363" s="5" t="s">
        <v>10</v>
      </c>
      <c r="G363" s="7">
        <v>329290894899</v>
      </c>
      <c r="H363" s="13">
        <v>0</v>
      </c>
      <c r="I363" s="13">
        <v>45541.91</v>
      </c>
    </row>
    <row r="364" spans="1:9" s="36" customFormat="1" ht="9.9499999999999993" customHeight="1">
      <c r="A364" s="4">
        <v>2544</v>
      </c>
      <c r="B364" s="10">
        <v>500011</v>
      </c>
      <c r="C364" s="25" t="s">
        <v>136</v>
      </c>
      <c r="D364" s="3">
        <v>46153</v>
      </c>
      <c r="E364" s="15" t="s">
        <v>70</v>
      </c>
      <c r="F364" s="16" t="s">
        <v>71</v>
      </c>
      <c r="G364" s="26">
        <v>2021</v>
      </c>
      <c r="H364" s="28">
        <v>30517.24</v>
      </c>
      <c r="I364" s="28">
        <v>0</v>
      </c>
    </row>
    <row r="365" spans="1:9" s="36" customFormat="1" ht="9.9499999999999993" customHeight="1">
      <c r="A365" s="4">
        <v>2545</v>
      </c>
      <c r="B365" s="10">
        <v>500011</v>
      </c>
      <c r="C365" s="25" t="s">
        <v>136</v>
      </c>
      <c r="D365" s="3">
        <v>46153</v>
      </c>
      <c r="E365" s="15" t="s">
        <v>121</v>
      </c>
      <c r="F365" s="16" t="s">
        <v>122</v>
      </c>
      <c r="G365" s="26">
        <v>2021</v>
      </c>
      <c r="H365" s="28">
        <v>4882.7584000000006</v>
      </c>
      <c r="I365" s="28">
        <v>0</v>
      </c>
    </row>
    <row r="366" spans="1:9" s="36" customFormat="1" ht="9.9499999999999993" customHeight="1">
      <c r="A366" s="4">
        <v>2546</v>
      </c>
      <c r="B366" s="10">
        <v>500011</v>
      </c>
      <c r="C366" s="25" t="s">
        <v>136</v>
      </c>
      <c r="D366" s="3">
        <v>46155</v>
      </c>
      <c r="E366" s="15" t="s">
        <v>70</v>
      </c>
      <c r="F366" s="16" t="s">
        <v>71</v>
      </c>
      <c r="G366" s="26">
        <v>2029</v>
      </c>
      <c r="H366" s="28">
        <v>35775.86</v>
      </c>
      <c r="I366" s="28">
        <v>0</v>
      </c>
    </row>
    <row r="367" spans="1:9" s="36" customFormat="1" ht="9.9499999999999993" customHeight="1">
      <c r="A367" s="4">
        <v>2547</v>
      </c>
      <c r="B367" s="10">
        <v>500011</v>
      </c>
      <c r="C367" s="25" t="s">
        <v>136</v>
      </c>
      <c r="D367" s="3">
        <v>46155</v>
      </c>
      <c r="E367" s="15" t="s">
        <v>121</v>
      </c>
      <c r="F367" s="16" t="s">
        <v>122</v>
      </c>
      <c r="G367" s="26">
        <v>2029</v>
      </c>
      <c r="H367" s="28">
        <v>5724.1376</v>
      </c>
      <c r="I367" s="37">
        <v>0</v>
      </c>
    </row>
    <row r="368" spans="1:9" s="36" customFormat="1" ht="9.9499999999999993" customHeight="1">
      <c r="A368" s="4">
        <v>2548</v>
      </c>
      <c r="B368" s="10">
        <v>500011</v>
      </c>
      <c r="C368" s="25" t="s">
        <v>136</v>
      </c>
      <c r="D368" s="3">
        <v>46153</v>
      </c>
      <c r="E368" s="15" t="s">
        <v>72</v>
      </c>
      <c r="F368" s="16" t="s">
        <v>73</v>
      </c>
      <c r="G368" s="26">
        <v>2021</v>
      </c>
      <c r="H368" s="28">
        <v>0</v>
      </c>
      <c r="I368" s="28">
        <f>SUM(H364:H365)</f>
        <v>35399.998400000004</v>
      </c>
    </row>
    <row r="369" spans="1:10" s="36" customFormat="1" ht="9.9499999999999993" customHeight="1">
      <c r="A369" s="4">
        <v>2549</v>
      </c>
      <c r="B369" s="10">
        <v>500011</v>
      </c>
      <c r="C369" s="25" t="s">
        <v>136</v>
      </c>
      <c r="D369" s="3">
        <v>46155</v>
      </c>
      <c r="E369" s="15" t="s">
        <v>72</v>
      </c>
      <c r="F369" s="16" t="s">
        <v>73</v>
      </c>
      <c r="G369" s="26">
        <v>2029</v>
      </c>
      <c r="H369" s="28">
        <v>0</v>
      </c>
      <c r="I369" s="28">
        <f>SUM(H366:H367)</f>
        <v>41499.997600000002</v>
      </c>
    </row>
    <row r="370" spans="1:10" s="36" customFormat="1" ht="10.5" customHeight="1">
      <c r="A370" s="4">
        <v>2550</v>
      </c>
      <c r="B370" s="10">
        <v>500011</v>
      </c>
      <c r="C370" s="25" t="s">
        <v>136</v>
      </c>
      <c r="D370" s="3">
        <v>46153</v>
      </c>
      <c r="E370" s="15" t="s">
        <v>72</v>
      </c>
      <c r="F370" s="16" t="s">
        <v>73</v>
      </c>
      <c r="G370" s="26">
        <v>2021</v>
      </c>
      <c r="H370" s="28">
        <v>35400</v>
      </c>
      <c r="I370" s="28">
        <v>0</v>
      </c>
    </row>
    <row r="371" spans="1:10" ht="9.9499999999999993" customHeight="1">
      <c r="A371" s="4">
        <v>2551</v>
      </c>
      <c r="B371" s="10">
        <v>500011</v>
      </c>
      <c r="C371" s="11" t="s">
        <v>49</v>
      </c>
      <c r="D371" s="3">
        <v>46153</v>
      </c>
      <c r="E371" s="4" t="s">
        <v>9</v>
      </c>
      <c r="F371" s="5" t="s">
        <v>10</v>
      </c>
      <c r="G371" s="7">
        <v>429715462986</v>
      </c>
      <c r="H371" s="28">
        <v>0</v>
      </c>
      <c r="I371" s="13">
        <v>35400</v>
      </c>
      <c r="J371" s="36"/>
    </row>
    <row r="372" spans="1:10" ht="9.9499999999999993" customHeight="1">
      <c r="A372" s="4">
        <v>2552</v>
      </c>
      <c r="B372" s="10">
        <v>500011</v>
      </c>
      <c r="C372" s="25" t="s">
        <v>136</v>
      </c>
      <c r="D372" s="3">
        <v>46153</v>
      </c>
      <c r="E372" s="15" t="s">
        <v>72</v>
      </c>
      <c r="F372" s="16" t="s">
        <v>73</v>
      </c>
      <c r="G372" s="26">
        <v>2029</v>
      </c>
      <c r="H372" s="13">
        <f>SUM(I373:I374)</f>
        <v>41402</v>
      </c>
      <c r="I372" s="35">
        <v>0</v>
      </c>
      <c r="J372" s="36"/>
    </row>
    <row r="373" spans="1:10" ht="9.9499999999999993" customHeight="1">
      <c r="A373" s="4">
        <v>2553</v>
      </c>
      <c r="B373" s="10">
        <v>500011</v>
      </c>
      <c r="C373" s="11" t="s">
        <v>49</v>
      </c>
      <c r="D373" s="3">
        <v>46155</v>
      </c>
      <c r="E373" s="4" t="s">
        <v>9</v>
      </c>
      <c r="F373" s="5" t="s">
        <v>10</v>
      </c>
      <c r="G373" s="7">
        <v>429715495752</v>
      </c>
      <c r="H373" s="28">
        <v>0</v>
      </c>
      <c r="I373" s="13">
        <v>35602</v>
      </c>
      <c r="J373" s="36"/>
    </row>
    <row r="374" spans="1:10" ht="9.9499999999999993" customHeight="1">
      <c r="A374" s="4">
        <v>2554</v>
      </c>
      <c r="B374" s="10">
        <v>500011</v>
      </c>
      <c r="C374" s="11" t="s">
        <v>49</v>
      </c>
      <c r="D374" s="3">
        <v>46155</v>
      </c>
      <c r="E374" s="4" t="s">
        <v>9</v>
      </c>
      <c r="F374" s="5" t="s">
        <v>10</v>
      </c>
      <c r="G374" s="7">
        <v>429715496978</v>
      </c>
      <c r="H374" s="28">
        <v>0</v>
      </c>
      <c r="I374" s="13">
        <v>5800</v>
      </c>
      <c r="J374" s="36"/>
    </row>
    <row r="375" spans="1:10" s="36" customFormat="1" ht="9.9499999999999993" customHeight="1">
      <c r="A375" s="4">
        <v>2555</v>
      </c>
      <c r="B375" s="10">
        <v>500012</v>
      </c>
      <c r="C375" s="25" t="s">
        <v>128</v>
      </c>
      <c r="D375" s="3">
        <v>46168</v>
      </c>
      <c r="E375" s="15" t="s">
        <v>70</v>
      </c>
      <c r="F375" s="16" t="s">
        <v>71</v>
      </c>
      <c r="G375" s="29">
        <v>158</v>
      </c>
      <c r="H375" s="28">
        <v>168339.55</v>
      </c>
      <c r="I375" s="28">
        <v>0</v>
      </c>
    </row>
    <row r="376" spans="1:10" s="36" customFormat="1" ht="9.9499999999999993" customHeight="1">
      <c r="A376" s="4">
        <v>2556</v>
      </c>
      <c r="B376" s="10">
        <v>500012</v>
      </c>
      <c r="C376" s="25" t="s">
        <v>128</v>
      </c>
      <c r="D376" s="3">
        <v>46168</v>
      </c>
      <c r="E376" s="15" t="s">
        <v>121</v>
      </c>
      <c r="F376" s="16" t="s">
        <v>122</v>
      </c>
      <c r="G376" s="29">
        <v>158</v>
      </c>
      <c r="H376" s="28">
        <v>26934.327999999998</v>
      </c>
      <c r="I376" s="13">
        <v>0</v>
      </c>
    </row>
    <row r="377" spans="1:10" s="36" customFormat="1" ht="9.9499999999999993" customHeight="1">
      <c r="A377" s="4">
        <v>2557</v>
      </c>
      <c r="B377" s="10">
        <v>500012</v>
      </c>
      <c r="C377" s="25" t="s">
        <v>128</v>
      </c>
      <c r="D377" s="3">
        <v>46168</v>
      </c>
      <c r="E377" s="15" t="s">
        <v>72</v>
      </c>
      <c r="F377" s="16" t="s">
        <v>73</v>
      </c>
      <c r="G377" s="29">
        <v>158</v>
      </c>
      <c r="H377" s="28">
        <v>0</v>
      </c>
      <c r="I377" s="13">
        <f>SUM(H375:H376)</f>
        <v>195273.878</v>
      </c>
    </row>
    <row r="378" spans="1:10" s="36" customFormat="1" ht="9.9499999999999993" customHeight="1">
      <c r="A378" s="4">
        <v>2558</v>
      </c>
      <c r="B378" s="10">
        <v>500012</v>
      </c>
      <c r="C378" s="25" t="s">
        <v>128</v>
      </c>
      <c r="D378" s="3">
        <v>46168</v>
      </c>
      <c r="E378" s="15" t="s">
        <v>72</v>
      </c>
      <c r="F378" s="16" t="s">
        <v>73</v>
      </c>
      <c r="G378" s="29">
        <v>158</v>
      </c>
      <c r="H378" s="28">
        <f>SUM(I379:I381)</f>
        <v>154202.01999999999</v>
      </c>
      <c r="I378" s="37"/>
    </row>
    <row r="379" spans="1:10" s="36" customFormat="1" ht="9.9499999999999993" customHeight="1">
      <c r="A379" s="4">
        <v>2559</v>
      </c>
      <c r="B379" s="10">
        <v>500012</v>
      </c>
      <c r="C379" s="17" t="s">
        <v>41</v>
      </c>
      <c r="D379" s="3">
        <v>46153</v>
      </c>
      <c r="E379" s="15" t="s">
        <v>9</v>
      </c>
      <c r="F379" s="16" t="s">
        <v>10</v>
      </c>
      <c r="G379" s="18">
        <v>429715463833</v>
      </c>
      <c r="H379" s="28">
        <v>0</v>
      </c>
      <c r="I379" s="13">
        <v>50088.15</v>
      </c>
    </row>
    <row r="380" spans="1:10" s="36" customFormat="1" ht="9.9499999999999993" customHeight="1">
      <c r="A380" s="4">
        <v>2560</v>
      </c>
      <c r="B380" s="10">
        <v>500012</v>
      </c>
      <c r="C380" s="17" t="s">
        <v>41</v>
      </c>
      <c r="D380" s="3">
        <v>46161</v>
      </c>
      <c r="E380" s="15" t="s">
        <v>9</v>
      </c>
      <c r="F380" s="16" t="s">
        <v>10</v>
      </c>
      <c r="G380" s="18">
        <v>429715596822</v>
      </c>
      <c r="H380" s="28">
        <v>0</v>
      </c>
      <c r="I380" s="13">
        <v>51796.19</v>
      </c>
    </row>
    <row r="381" spans="1:10" s="36" customFormat="1" ht="9.9499999999999993" customHeight="1">
      <c r="A381" s="4">
        <v>2561</v>
      </c>
      <c r="B381" s="10">
        <v>500012</v>
      </c>
      <c r="C381" s="17" t="s">
        <v>41</v>
      </c>
      <c r="D381" s="3">
        <v>46167</v>
      </c>
      <c r="E381" s="15" t="s">
        <v>9</v>
      </c>
      <c r="F381" s="16" t="s">
        <v>10</v>
      </c>
      <c r="G381" s="18">
        <v>429715685325</v>
      </c>
      <c r="H381" s="28">
        <v>0</v>
      </c>
      <c r="I381" s="13">
        <v>52317.68</v>
      </c>
    </row>
    <row r="382" spans="1:10" ht="9.9499999999999993" customHeight="1">
      <c r="A382" s="4">
        <v>2562</v>
      </c>
      <c r="B382" s="10">
        <v>500013</v>
      </c>
      <c r="C382" s="11" t="s">
        <v>137</v>
      </c>
      <c r="D382" s="3">
        <v>46154</v>
      </c>
      <c r="E382" s="15" t="s">
        <v>70</v>
      </c>
      <c r="F382" s="16" t="s">
        <v>71</v>
      </c>
      <c r="G382" s="7">
        <v>597315482554</v>
      </c>
      <c r="H382" s="28">
        <v>20319.37</v>
      </c>
      <c r="I382" s="13">
        <v>0</v>
      </c>
      <c r="J382" s="36"/>
    </row>
    <row r="383" spans="1:10" ht="9.9499999999999993" customHeight="1">
      <c r="A383" s="4">
        <v>2563</v>
      </c>
      <c r="B383" s="10">
        <v>500013</v>
      </c>
      <c r="C383" s="11" t="s">
        <v>50</v>
      </c>
      <c r="D383" s="3">
        <v>46154</v>
      </c>
      <c r="E383" s="4" t="s">
        <v>9</v>
      </c>
      <c r="F383" s="5" t="s">
        <v>10</v>
      </c>
      <c r="G383" s="7">
        <v>597315482554</v>
      </c>
      <c r="H383" s="28">
        <v>0</v>
      </c>
      <c r="I383" s="13">
        <v>20319.37</v>
      </c>
      <c r="J383" s="36"/>
    </row>
    <row r="384" spans="1:10" ht="9.9499999999999993" customHeight="1">
      <c r="A384" s="4">
        <v>2564</v>
      </c>
      <c r="B384" s="10">
        <v>500014</v>
      </c>
      <c r="C384" s="25" t="s">
        <v>138</v>
      </c>
      <c r="D384" s="3">
        <v>46150</v>
      </c>
      <c r="E384" s="15" t="s">
        <v>70</v>
      </c>
      <c r="F384" s="16" t="s">
        <v>71</v>
      </c>
      <c r="G384" s="26">
        <v>35829</v>
      </c>
      <c r="H384" s="28">
        <v>8618.2800000000007</v>
      </c>
      <c r="I384" s="28">
        <v>0</v>
      </c>
      <c r="J384" s="36"/>
    </row>
    <row r="385" spans="1:10" ht="9.9499999999999993" customHeight="1">
      <c r="A385" s="4">
        <v>2565</v>
      </c>
      <c r="B385" s="10">
        <v>500014</v>
      </c>
      <c r="C385" s="25" t="s">
        <v>138</v>
      </c>
      <c r="D385" s="3">
        <v>46150</v>
      </c>
      <c r="E385" s="15" t="s">
        <v>121</v>
      </c>
      <c r="F385" s="16" t="s">
        <v>122</v>
      </c>
      <c r="G385" s="26">
        <v>35829</v>
      </c>
      <c r="H385" s="28">
        <v>1378.9248</v>
      </c>
      <c r="I385" s="28">
        <v>0</v>
      </c>
      <c r="J385" s="36"/>
    </row>
    <row r="386" spans="1:10" ht="9.9499999999999993" customHeight="1">
      <c r="A386" s="4">
        <v>2566</v>
      </c>
      <c r="B386" s="10">
        <v>500014</v>
      </c>
      <c r="C386" s="25" t="s">
        <v>138</v>
      </c>
      <c r="D386" s="3">
        <v>46150</v>
      </c>
      <c r="E386" s="15" t="s">
        <v>72</v>
      </c>
      <c r="F386" s="16" t="s">
        <v>73</v>
      </c>
      <c r="G386" s="26">
        <v>35829</v>
      </c>
      <c r="H386" s="28">
        <v>0</v>
      </c>
      <c r="I386" s="28">
        <f>SUM(H384:H385)</f>
        <v>9997.2048000000013</v>
      </c>
      <c r="J386" s="36"/>
    </row>
    <row r="387" spans="1:10" ht="9.9499999999999993" customHeight="1">
      <c r="A387" s="4">
        <v>2567</v>
      </c>
      <c r="B387" s="10">
        <v>500014</v>
      </c>
      <c r="C387" s="25" t="s">
        <v>138</v>
      </c>
      <c r="D387" s="3">
        <v>46150</v>
      </c>
      <c r="E387" s="15" t="s">
        <v>72</v>
      </c>
      <c r="F387" s="16" t="s">
        <v>73</v>
      </c>
      <c r="G387" s="26">
        <v>35829</v>
      </c>
      <c r="H387" s="28">
        <v>9997.2048000000013</v>
      </c>
      <c r="I387" s="37">
        <v>0</v>
      </c>
      <c r="J387" s="36"/>
    </row>
    <row r="388" spans="1:10" ht="9.9499999999999993" customHeight="1">
      <c r="A388" s="4">
        <v>2568</v>
      </c>
      <c r="B388" s="10">
        <v>500014</v>
      </c>
      <c r="C388" s="25" t="s">
        <v>138</v>
      </c>
      <c r="D388" s="3">
        <v>46150</v>
      </c>
      <c r="E388" s="15" t="s">
        <v>134</v>
      </c>
      <c r="F388" s="16" t="s">
        <v>135</v>
      </c>
      <c r="G388" s="26">
        <v>35829</v>
      </c>
      <c r="H388" s="28">
        <f>(I389)-H387</f>
        <v>26884.7952</v>
      </c>
      <c r="I388" s="37">
        <v>0</v>
      </c>
      <c r="J388" s="36"/>
    </row>
    <row r="389" spans="1:10" ht="9.9499999999999993" customHeight="1">
      <c r="A389" s="4">
        <v>2569</v>
      </c>
      <c r="B389" s="10">
        <v>500014</v>
      </c>
      <c r="C389" s="17" t="s">
        <v>54</v>
      </c>
      <c r="D389" s="3">
        <v>46160</v>
      </c>
      <c r="E389" s="15" t="s">
        <v>9</v>
      </c>
      <c r="F389" s="16" t="s">
        <v>10</v>
      </c>
      <c r="G389" s="18">
        <v>597315579636</v>
      </c>
      <c r="H389" s="28">
        <v>0</v>
      </c>
      <c r="I389" s="13">
        <v>36882</v>
      </c>
      <c r="J389" s="36"/>
    </row>
    <row r="390" spans="1:10" ht="9.9499999999999993" customHeight="1">
      <c r="A390" s="4">
        <v>2570</v>
      </c>
      <c r="B390" s="10">
        <v>500015</v>
      </c>
      <c r="C390" s="11" t="s">
        <v>139</v>
      </c>
      <c r="D390" s="3">
        <v>46161</v>
      </c>
      <c r="E390" s="15" t="s">
        <v>121</v>
      </c>
      <c r="F390" s="16" t="s">
        <v>122</v>
      </c>
      <c r="G390" s="7">
        <v>597315596538</v>
      </c>
      <c r="H390" s="13">
        <v>21029.25</v>
      </c>
      <c r="I390" s="13">
        <v>0</v>
      </c>
      <c r="J390" s="36"/>
    </row>
    <row r="391" spans="1:10" ht="11.25" customHeight="1">
      <c r="A391" s="4">
        <v>2571</v>
      </c>
      <c r="B391" s="10">
        <v>500015</v>
      </c>
      <c r="C391" s="11" t="s">
        <v>55</v>
      </c>
      <c r="D391" s="3">
        <v>46161</v>
      </c>
      <c r="E391" s="4" t="s">
        <v>9</v>
      </c>
      <c r="F391" s="5" t="s">
        <v>10</v>
      </c>
      <c r="G391" s="7">
        <v>597315596538</v>
      </c>
      <c r="H391" s="28">
        <v>0</v>
      </c>
      <c r="I391" s="13">
        <v>21029.25</v>
      </c>
      <c r="J391" s="36"/>
    </row>
    <row r="392" spans="1:10" ht="9.9499999999999993" customHeight="1">
      <c r="A392" s="4">
        <v>2572</v>
      </c>
      <c r="B392" s="10">
        <v>500016</v>
      </c>
      <c r="C392" s="11" t="s">
        <v>142</v>
      </c>
      <c r="D392" s="3">
        <v>46161</v>
      </c>
      <c r="E392" s="4" t="s">
        <v>140</v>
      </c>
      <c r="F392" s="5" t="s">
        <v>141</v>
      </c>
      <c r="G392" s="7">
        <v>429715607299</v>
      </c>
      <c r="H392" s="13">
        <v>51796.19</v>
      </c>
      <c r="I392" s="13">
        <v>0</v>
      </c>
    </row>
    <row r="393" spans="1:10" ht="9.9499999999999993" customHeight="1">
      <c r="A393" s="4">
        <v>2573</v>
      </c>
      <c r="B393" s="10">
        <v>500016</v>
      </c>
      <c r="C393" s="11" t="s">
        <v>59</v>
      </c>
      <c r="D393" s="3">
        <v>46161</v>
      </c>
      <c r="E393" s="4" t="s">
        <v>9</v>
      </c>
      <c r="F393" s="5" t="s">
        <v>10</v>
      </c>
      <c r="G393" s="7">
        <v>429715607299</v>
      </c>
      <c r="H393" s="28">
        <v>0</v>
      </c>
      <c r="I393" s="13">
        <v>51796.19</v>
      </c>
    </row>
    <row r="394" spans="1:10" ht="9.9499999999999993" customHeight="1">
      <c r="A394" s="4">
        <v>2574</v>
      </c>
      <c r="B394" s="10">
        <v>500016</v>
      </c>
      <c r="C394" s="11" t="s">
        <v>142</v>
      </c>
      <c r="D394" s="3">
        <v>46170</v>
      </c>
      <c r="E394" s="4" t="s">
        <v>140</v>
      </c>
      <c r="F394" s="5" t="s">
        <v>141</v>
      </c>
      <c r="G394" s="7">
        <v>429715725406</v>
      </c>
      <c r="H394" s="13">
        <v>54457.94</v>
      </c>
      <c r="I394" s="13"/>
    </row>
    <row r="395" spans="1:10" ht="9.9499999999999993" customHeight="1">
      <c r="A395" s="4">
        <v>2575</v>
      </c>
      <c r="B395" s="10">
        <v>500016</v>
      </c>
      <c r="C395" s="11" t="s">
        <v>59</v>
      </c>
      <c r="D395" s="3">
        <v>46170</v>
      </c>
      <c r="E395" s="4" t="s">
        <v>9</v>
      </c>
      <c r="F395" s="5" t="s">
        <v>10</v>
      </c>
      <c r="G395" s="7">
        <v>429715725406</v>
      </c>
      <c r="H395" s="7"/>
      <c r="I395" s="13">
        <v>54457.94</v>
      </c>
    </row>
    <row r="396" spans="1:10" ht="9.9499999999999993" customHeight="1">
      <c r="A396" s="4">
        <v>2576</v>
      </c>
      <c r="B396" s="10">
        <v>500017</v>
      </c>
      <c r="C396" s="25" t="s">
        <v>145</v>
      </c>
      <c r="D396" s="3">
        <v>46162</v>
      </c>
      <c r="E396" s="15" t="s">
        <v>143</v>
      </c>
      <c r="F396" s="16" t="s">
        <v>144</v>
      </c>
      <c r="G396" s="7">
        <v>592340005967</v>
      </c>
      <c r="H396" s="28">
        <v>11187.98</v>
      </c>
      <c r="I396" s="13">
        <v>0</v>
      </c>
    </row>
    <row r="397" spans="1:10" ht="9.9499999999999993" customHeight="1">
      <c r="A397" s="4">
        <v>2577</v>
      </c>
      <c r="B397" s="10">
        <v>500017</v>
      </c>
      <c r="C397" s="25" t="s">
        <v>60</v>
      </c>
      <c r="D397" s="3">
        <v>46162</v>
      </c>
      <c r="E397" s="15" t="s">
        <v>9</v>
      </c>
      <c r="F397" s="16" t="s">
        <v>10</v>
      </c>
      <c r="G397" s="7">
        <v>592340005967</v>
      </c>
      <c r="H397" s="28">
        <v>0</v>
      </c>
      <c r="I397" s="13">
        <v>11187.98</v>
      </c>
    </row>
    <row r="398" spans="1:10" ht="9.9499999999999993" customHeight="1">
      <c r="A398" s="4">
        <v>2578</v>
      </c>
      <c r="B398" s="10">
        <v>500018</v>
      </c>
      <c r="C398" s="11" t="s">
        <v>67</v>
      </c>
      <c r="D398" s="3">
        <v>46170</v>
      </c>
      <c r="E398" s="15" t="s">
        <v>86</v>
      </c>
      <c r="F398" s="16" t="s">
        <v>87</v>
      </c>
      <c r="G398" s="7">
        <v>429715726745</v>
      </c>
      <c r="H398" s="13">
        <v>13614.49</v>
      </c>
      <c r="I398" s="35">
        <v>0</v>
      </c>
    </row>
    <row r="399" spans="1:10" ht="9.9499999999999993" customHeight="1">
      <c r="A399" s="4">
        <v>2579</v>
      </c>
      <c r="B399" s="10">
        <v>500018</v>
      </c>
      <c r="C399" s="11" t="s">
        <v>67</v>
      </c>
      <c r="D399" s="3">
        <v>46170</v>
      </c>
      <c r="E399" s="4" t="s">
        <v>9</v>
      </c>
      <c r="F399" s="5" t="s">
        <v>10</v>
      </c>
      <c r="G399" s="7">
        <v>429715726745</v>
      </c>
      <c r="H399" s="35">
        <v>0</v>
      </c>
      <c r="I399" s="13">
        <v>13614.49</v>
      </c>
    </row>
    <row r="400" spans="1:10" ht="9.9499999999999993" customHeight="1">
      <c r="A400" s="4">
        <v>2580</v>
      </c>
      <c r="B400" s="10">
        <v>500019</v>
      </c>
      <c r="C400" s="14" t="s">
        <v>133</v>
      </c>
      <c r="D400" s="3">
        <v>46161</v>
      </c>
      <c r="E400" s="4" t="s">
        <v>134</v>
      </c>
      <c r="F400" s="5" t="s">
        <v>135</v>
      </c>
      <c r="G400" s="7">
        <v>329295038529</v>
      </c>
      <c r="H400" s="13">
        <v>62155.43</v>
      </c>
    </row>
    <row r="401" spans="1:9" ht="9.9499999999999993" customHeight="1">
      <c r="A401" s="4">
        <v>2581</v>
      </c>
      <c r="B401" s="10">
        <v>500019</v>
      </c>
      <c r="C401" s="11" t="s">
        <v>57</v>
      </c>
      <c r="D401" s="3">
        <v>46161</v>
      </c>
      <c r="E401" s="4" t="s">
        <v>9</v>
      </c>
      <c r="F401" s="5" t="s">
        <v>10</v>
      </c>
      <c r="G401" s="7">
        <v>329295038529</v>
      </c>
      <c r="H401" s="35">
        <v>0</v>
      </c>
      <c r="I401" s="13">
        <v>62155.43</v>
      </c>
    </row>
    <row r="402" spans="1:9" ht="9.9499999999999993" customHeight="1">
      <c r="A402" s="4">
        <v>2582</v>
      </c>
      <c r="B402" s="10">
        <v>500020</v>
      </c>
      <c r="C402" s="11" t="s">
        <v>58</v>
      </c>
      <c r="D402" s="3">
        <v>46161</v>
      </c>
      <c r="E402" s="15" t="s">
        <v>70</v>
      </c>
      <c r="F402" s="16" t="s">
        <v>71</v>
      </c>
      <c r="G402" s="7">
        <v>329295041684</v>
      </c>
      <c r="H402" s="13">
        <v>33667.519999999997</v>
      </c>
      <c r="I402" s="35">
        <v>0</v>
      </c>
    </row>
    <row r="403" spans="1:9" ht="9.9499999999999993" customHeight="1">
      <c r="A403" s="4">
        <v>2583</v>
      </c>
      <c r="B403" s="10">
        <v>500020</v>
      </c>
      <c r="C403" s="11" t="s">
        <v>58</v>
      </c>
      <c r="D403" s="3">
        <v>46161</v>
      </c>
      <c r="E403" s="4" t="s">
        <v>9</v>
      </c>
      <c r="F403" s="5" t="s">
        <v>10</v>
      </c>
      <c r="G403" s="7">
        <v>329295041684</v>
      </c>
      <c r="H403" s="35">
        <v>0</v>
      </c>
      <c r="I403" s="13">
        <v>33667.519999999997</v>
      </c>
    </row>
    <row r="404" spans="1:9" ht="9.9499999999999993" customHeight="1">
      <c r="A404" s="4">
        <v>2584</v>
      </c>
      <c r="B404" s="10">
        <v>500021</v>
      </c>
      <c r="C404" s="25" t="s">
        <v>130</v>
      </c>
      <c r="D404" s="3">
        <v>46169</v>
      </c>
      <c r="E404" s="15" t="s">
        <v>70</v>
      </c>
      <c r="F404" s="16" t="s">
        <v>71</v>
      </c>
      <c r="G404" s="29">
        <v>2284</v>
      </c>
      <c r="H404" s="28">
        <v>241638</v>
      </c>
      <c r="I404" s="28">
        <v>0</v>
      </c>
    </row>
    <row r="405" spans="1:9" ht="9.9499999999999993" customHeight="1">
      <c r="A405" s="4">
        <v>2585</v>
      </c>
      <c r="B405" s="10">
        <v>500021</v>
      </c>
      <c r="C405" s="25" t="s">
        <v>130</v>
      </c>
      <c r="D405" s="3">
        <v>46169</v>
      </c>
      <c r="E405" s="15" t="s">
        <v>121</v>
      </c>
      <c r="F405" s="16" t="s">
        <v>122</v>
      </c>
      <c r="G405" s="29">
        <v>2284</v>
      </c>
      <c r="H405" s="28">
        <v>38662.080000000002</v>
      </c>
      <c r="I405" s="28">
        <v>0</v>
      </c>
    </row>
    <row r="406" spans="1:9" ht="9.9499999999999993" customHeight="1">
      <c r="A406" s="4">
        <v>2586</v>
      </c>
      <c r="B406" s="10">
        <v>500021</v>
      </c>
      <c r="C406" s="25" t="s">
        <v>130</v>
      </c>
      <c r="D406" s="3">
        <v>46169</v>
      </c>
      <c r="E406" s="15" t="s">
        <v>72</v>
      </c>
      <c r="F406" s="16" t="s">
        <v>73</v>
      </c>
      <c r="G406" s="29">
        <v>2284</v>
      </c>
      <c r="H406" s="28">
        <v>0</v>
      </c>
      <c r="I406" s="28">
        <f>SUM(H404:H405)</f>
        <v>280300.08</v>
      </c>
    </row>
    <row r="407" spans="1:9" ht="9.9499999999999993" customHeight="1">
      <c r="A407" s="4">
        <v>2587</v>
      </c>
      <c r="B407" s="10">
        <v>500021</v>
      </c>
      <c r="C407" s="25" t="s">
        <v>130</v>
      </c>
      <c r="D407" s="3">
        <v>46169</v>
      </c>
      <c r="E407" s="15" t="s">
        <v>72</v>
      </c>
      <c r="F407" s="16" t="s">
        <v>73</v>
      </c>
      <c r="G407" s="29">
        <v>2284</v>
      </c>
      <c r="H407" s="28">
        <f>I408</f>
        <v>175205</v>
      </c>
      <c r="I407" s="28"/>
    </row>
    <row r="408" spans="1:9" ht="9.9499999999999993" customHeight="1">
      <c r="A408" s="4">
        <v>2588</v>
      </c>
      <c r="B408" s="10">
        <v>500021</v>
      </c>
      <c r="C408" s="17" t="s">
        <v>43</v>
      </c>
      <c r="D408" s="3">
        <v>46162</v>
      </c>
      <c r="E408" s="15" t="s">
        <v>9</v>
      </c>
      <c r="F408" s="16" t="s">
        <v>10</v>
      </c>
      <c r="G408" s="18">
        <v>429715616002</v>
      </c>
      <c r="H408" s="28">
        <v>0</v>
      </c>
      <c r="I408" s="28">
        <v>175205</v>
      </c>
    </row>
    <row r="409" spans="1:9" ht="9.9499999999999993" customHeight="1">
      <c r="A409" s="4">
        <v>2589</v>
      </c>
      <c r="B409" s="10">
        <v>500022</v>
      </c>
      <c r="C409" s="11" t="s">
        <v>64</v>
      </c>
      <c r="D409" s="3">
        <v>46167</v>
      </c>
      <c r="E409" s="15" t="s">
        <v>70</v>
      </c>
      <c r="F409" s="16" t="s">
        <v>71</v>
      </c>
      <c r="G409" s="7">
        <v>429715687904</v>
      </c>
      <c r="H409" s="13">
        <v>30769</v>
      </c>
      <c r="I409" s="13">
        <v>0</v>
      </c>
    </row>
    <row r="410" spans="1:9" ht="9.9499999999999993" customHeight="1">
      <c r="A410" s="4">
        <v>2590</v>
      </c>
      <c r="B410" s="10">
        <v>500022</v>
      </c>
      <c r="C410" s="11" t="s">
        <v>64</v>
      </c>
      <c r="D410" s="3">
        <v>46167</v>
      </c>
      <c r="E410" s="15" t="s">
        <v>9</v>
      </c>
      <c r="F410" s="16" t="s">
        <v>10</v>
      </c>
      <c r="G410" s="7">
        <v>429715687904</v>
      </c>
      <c r="H410" s="13">
        <v>0</v>
      </c>
      <c r="I410" s="13">
        <v>30769</v>
      </c>
    </row>
    <row r="411" spans="1:9" ht="9.9499999999999993" customHeight="1">
      <c r="A411" s="4">
        <v>2591</v>
      </c>
      <c r="B411" s="10">
        <v>500023</v>
      </c>
      <c r="C411" s="11" t="s">
        <v>65</v>
      </c>
      <c r="D411" s="3">
        <v>46168</v>
      </c>
      <c r="E411" s="15" t="s">
        <v>70</v>
      </c>
      <c r="F411" s="16" t="s">
        <v>71</v>
      </c>
      <c r="G411" s="7">
        <v>429715690983</v>
      </c>
      <c r="H411" s="13">
        <v>24327.91</v>
      </c>
      <c r="I411" s="13">
        <v>0</v>
      </c>
    </row>
    <row r="412" spans="1:9" ht="9.9499999999999993" customHeight="1">
      <c r="A412" s="4">
        <v>2592</v>
      </c>
      <c r="B412" s="10">
        <v>500023</v>
      </c>
      <c r="C412" s="11" t="s">
        <v>65</v>
      </c>
      <c r="D412" s="3">
        <v>46168</v>
      </c>
      <c r="E412" s="15" t="s">
        <v>9</v>
      </c>
      <c r="F412" s="16" t="s">
        <v>10</v>
      </c>
      <c r="G412" s="7">
        <v>429715690983</v>
      </c>
      <c r="H412" s="13">
        <v>0</v>
      </c>
      <c r="I412" s="13">
        <v>24327.91</v>
      </c>
    </row>
    <row r="413" spans="1:9" ht="9.9499999999999993" customHeight="1">
      <c r="A413" s="4">
        <v>2593</v>
      </c>
      <c r="B413" s="10">
        <v>500024</v>
      </c>
      <c r="C413" s="11" t="s">
        <v>148</v>
      </c>
      <c r="D413" s="3">
        <v>46146</v>
      </c>
      <c r="E413" s="15" t="s">
        <v>9</v>
      </c>
      <c r="F413" s="16" t="s">
        <v>10</v>
      </c>
      <c r="G413" s="7">
        <v>50956183773</v>
      </c>
      <c r="H413" s="13">
        <v>14680</v>
      </c>
      <c r="I413" s="13">
        <v>0</v>
      </c>
    </row>
    <row r="414" spans="1:9" ht="9.9499999999999993" customHeight="1">
      <c r="A414" s="4">
        <v>2594</v>
      </c>
      <c r="B414" s="10">
        <v>500024</v>
      </c>
      <c r="C414" s="11" t="s">
        <v>148</v>
      </c>
      <c r="D414" s="3">
        <v>46146</v>
      </c>
      <c r="E414" s="15" t="s">
        <v>9</v>
      </c>
      <c r="F414" s="16" t="s">
        <v>10</v>
      </c>
      <c r="G414" s="7">
        <v>50956185577</v>
      </c>
      <c r="H414" s="13">
        <v>24475</v>
      </c>
      <c r="I414" s="13">
        <v>0</v>
      </c>
    </row>
    <row r="415" spans="1:9" ht="9.9499999999999993" customHeight="1">
      <c r="A415" s="4">
        <v>2595</v>
      </c>
      <c r="B415" s="10">
        <v>500024</v>
      </c>
      <c r="C415" s="11" t="s">
        <v>12</v>
      </c>
      <c r="D415" s="3">
        <v>46147</v>
      </c>
      <c r="E415" s="15" t="s">
        <v>9</v>
      </c>
      <c r="F415" s="16" t="s">
        <v>10</v>
      </c>
      <c r="G415" s="7">
        <v>50951818629</v>
      </c>
      <c r="H415" s="13">
        <v>9800</v>
      </c>
      <c r="I415" s="13">
        <v>0</v>
      </c>
    </row>
    <row r="416" spans="1:9" ht="9.9499999999999993" customHeight="1">
      <c r="A416" s="4">
        <v>2596</v>
      </c>
      <c r="B416" s="10">
        <v>500024</v>
      </c>
      <c r="C416" s="11" t="s">
        <v>148</v>
      </c>
      <c r="D416" s="3">
        <v>46150</v>
      </c>
      <c r="E416" s="15" t="s">
        <v>9</v>
      </c>
      <c r="F416" s="16" t="s">
        <v>10</v>
      </c>
      <c r="G416" s="7">
        <v>50957580684</v>
      </c>
      <c r="H416" s="13">
        <v>5000</v>
      </c>
      <c r="I416" s="13">
        <v>0</v>
      </c>
    </row>
    <row r="417" spans="1:9" ht="9.9499999999999993" customHeight="1">
      <c r="A417" s="4">
        <v>2597</v>
      </c>
      <c r="B417" s="10">
        <v>500024</v>
      </c>
      <c r="C417" s="11" t="s">
        <v>148</v>
      </c>
      <c r="D417" s="3">
        <v>46160</v>
      </c>
      <c r="E417" s="15" t="s">
        <v>9</v>
      </c>
      <c r="F417" s="16" t="s">
        <v>10</v>
      </c>
      <c r="G417" s="7">
        <v>50951037393</v>
      </c>
      <c r="H417" s="13">
        <v>10000</v>
      </c>
      <c r="I417" s="13">
        <v>0</v>
      </c>
    </row>
    <row r="418" spans="1:9" ht="9.9499999999999993" customHeight="1">
      <c r="A418" s="4">
        <v>2598</v>
      </c>
      <c r="B418" s="10">
        <v>500024</v>
      </c>
      <c r="C418" s="11" t="s">
        <v>149</v>
      </c>
      <c r="D418" s="3">
        <v>46170</v>
      </c>
      <c r="E418" s="15" t="s">
        <v>9</v>
      </c>
      <c r="F418" s="16" t="s">
        <v>10</v>
      </c>
      <c r="G418" s="7">
        <v>50977285388</v>
      </c>
      <c r="H418" s="13">
        <v>38120.559999999998</v>
      </c>
      <c r="I418" s="13">
        <v>0</v>
      </c>
    </row>
    <row r="419" spans="1:9" ht="9.9499999999999993" customHeight="1">
      <c r="A419" s="4">
        <v>2599</v>
      </c>
      <c r="B419" s="10">
        <v>500024</v>
      </c>
      <c r="C419" s="11" t="s">
        <v>150</v>
      </c>
      <c r="D419" s="3">
        <v>46171</v>
      </c>
      <c r="E419" s="15" t="s">
        <v>9</v>
      </c>
      <c r="F419" s="16" t="s">
        <v>10</v>
      </c>
      <c r="G419" s="7">
        <v>50956027869</v>
      </c>
      <c r="H419" s="13">
        <v>22000</v>
      </c>
      <c r="I419" s="13">
        <v>0</v>
      </c>
    </row>
    <row r="420" spans="1:9" ht="9.9499999999999993" customHeight="1">
      <c r="A420" s="4">
        <v>2600</v>
      </c>
      <c r="B420" s="10">
        <v>500024</v>
      </c>
      <c r="C420" s="11" t="s">
        <v>148</v>
      </c>
      <c r="D420" s="3">
        <v>46146</v>
      </c>
      <c r="E420" s="15" t="s">
        <v>37</v>
      </c>
      <c r="F420" s="16" t="s">
        <v>38</v>
      </c>
      <c r="G420" s="7">
        <v>50956183773</v>
      </c>
      <c r="H420" s="13">
        <v>0</v>
      </c>
      <c r="I420" s="13">
        <v>14680</v>
      </c>
    </row>
    <row r="421" spans="1:9" ht="9.9499999999999993" customHeight="1">
      <c r="A421" s="4">
        <v>2601</v>
      </c>
      <c r="B421" s="10">
        <v>500024</v>
      </c>
      <c r="C421" s="11" t="s">
        <v>148</v>
      </c>
      <c r="D421" s="3">
        <v>46146</v>
      </c>
      <c r="E421" s="15" t="s">
        <v>37</v>
      </c>
      <c r="F421" s="16" t="s">
        <v>38</v>
      </c>
      <c r="G421" s="7">
        <v>50956185577</v>
      </c>
      <c r="H421" s="13">
        <v>0</v>
      </c>
      <c r="I421" s="13">
        <v>24475</v>
      </c>
    </row>
    <row r="422" spans="1:9" ht="9.9499999999999993" customHeight="1">
      <c r="A422" s="4">
        <v>2602</v>
      </c>
      <c r="B422" s="10">
        <v>500024</v>
      </c>
      <c r="C422" s="11" t="s">
        <v>12</v>
      </c>
      <c r="D422" s="3">
        <v>46147</v>
      </c>
      <c r="E422" s="15" t="s">
        <v>37</v>
      </c>
      <c r="F422" s="16" t="s">
        <v>38</v>
      </c>
      <c r="G422" s="7">
        <v>50951818629</v>
      </c>
      <c r="H422" s="13">
        <v>0</v>
      </c>
      <c r="I422" s="13">
        <v>9800</v>
      </c>
    </row>
    <row r="423" spans="1:9" ht="9.9499999999999993" customHeight="1">
      <c r="A423" s="4">
        <v>2603</v>
      </c>
      <c r="B423" s="10">
        <v>500024</v>
      </c>
      <c r="C423" s="11" t="s">
        <v>148</v>
      </c>
      <c r="D423" s="3">
        <v>46150</v>
      </c>
      <c r="E423" s="15" t="s">
        <v>37</v>
      </c>
      <c r="F423" s="16" t="s">
        <v>38</v>
      </c>
      <c r="G423" s="7">
        <v>50957580684</v>
      </c>
      <c r="H423" s="13">
        <v>0</v>
      </c>
      <c r="I423" s="13">
        <v>5000</v>
      </c>
    </row>
    <row r="424" spans="1:9" ht="9.9499999999999993" customHeight="1">
      <c r="A424" s="4">
        <v>2604</v>
      </c>
      <c r="B424" s="10">
        <v>500024</v>
      </c>
      <c r="C424" s="11" t="s">
        <v>148</v>
      </c>
      <c r="D424" s="3">
        <v>46160</v>
      </c>
      <c r="E424" s="15" t="s">
        <v>37</v>
      </c>
      <c r="F424" s="16" t="s">
        <v>38</v>
      </c>
      <c r="G424" s="7">
        <v>50951037393</v>
      </c>
      <c r="H424" s="13">
        <v>0</v>
      </c>
      <c r="I424" s="13">
        <v>10000</v>
      </c>
    </row>
    <row r="425" spans="1:9" ht="9.9499999999999993" customHeight="1">
      <c r="A425" s="4">
        <v>2605</v>
      </c>
      <c r="B425" s="10">
        <v>500024</v>
      </c>
      <c r="C425" s="11" t="s">
        <v>149</v>
      </c>
      <c r="D425" s="3">
        <v>46170</v>
      </c>
      <c r="E425" s="15" t="s">
        <v>37</v>
      </c>
      <c r="F425" s="16" t="s">
        <v>38</v>
      </c>
      <c r="G425" s="7">
        <v>50977285388</v>
      </c>
      <c r="H425" s="13">
        <v>0</v>
      </c>
      <c r="I425" s="13">
        <v>38120.559999999998</v>
      </c>
    </row>
    <row r="426" spans="1:9" ht="9.75" customHeight="1">
      <c r="A426" s="4">
        <v>2606</v>
      </c>
      <c r="B426" s="10">
        <v>500024</v>
      </c>
      <c r="C426" s="11" t="s">
        <v>150</v>
      </c>
      <c r="D426" s="3">
        <v>46171</v>
      </c>
      <c r="E426" s="15" t="s">
        <v>37</v>
      </c>
      <c r="F426" s="16" t="s">
        <v>38</v>
      </c>
      <c r="G426" s="7">
        <v>50956027869</v>
      </c>
      <c r="H426" s="13">
        <v>0</v>
      </c>
      <c r="I426" s="13">
        <v>22000</v>
      </c>
    </row>
    <row r="427" spans="1:9" ht="9.9499999999999993" customHeight="1">
      <c r="A427" s="4">
        <v>2607</v>
      </c>
      <c r="B427" s="10">
        <v>500025</v>
      </c>
      <c r="C427" s="11" t="s">
        <v>39</v>
      </c>
      <c r="D427" s="3">
        <v>46143</v>
      </c>
      <c r="E427" s="15" t="s">
        <v>9</v>
      </c>
      <c r="F427" s="16" t="s">
        <v>10</v>
      </c>
      <c r="G427" s="7">
        <v>120200001647</v>
      </c>
      <c r="H427" s="13">
        <v>0</v>
      </c>
      <c r="I427" s="13">
        <v>8</v>
      </c>
    </row>
    <row r="428" spans="1:9" ht="9.9499999999999993" customHeight="1">
      <c r="A428" s="4">
        <v>2608</v>
      </c>
      <c r="B428" s="10">
        <v>500025</v>
      </c>
      <c r="C428" s="11" t="s">
        <v>15</v>
      </c>
      <c r="D428" s="3">
        <v>46143</v>
      </c>
      <c r="E428" s="15" t="s">
        <v>9</v>
      </c>
      <c r="F428" s="16" t="s">
        <v>10</v>
      </c>
      <c r="G428" s="7">
        <v>27255193916</v>
      </c>
      <c r="H428" s="13">
        <v>0</v>
      </c>
      <c r="I428" s="13">
        <v>366.75</v>
      </c>
    </row>
    <row r="429" spans="1:9" ht="9.9499999999999993" customHeight="1">
      <c r="A429" s="4">
        <v>2609</v>
      </c>
      <c r="B429" s="10">
        <v>500025</v>
      </c>
      <c r="C429" s="11" t="s">
        <v>14</v>
      </c>
      <c r="D429" s="3">
        <v>46143</v>
      </c>
      <c r="E429" s="15" t="s">
        <v>9</v>
      </c>
      <c r="F429" s="16" t="s">
        <v>10</v>
      </c>
      <c r="G429" s="7">
        <v>210054358753</v>
      </c>
      <c r="H429" s="13">
        <v>0</v>
      </c>
      <c r="I429" s="13">
        <v>219.21</v>
      </c>
    </row>
    <row r="430" spans="1:9" ht="9.9499999999999993" customHeight="1">
      <c r="A430" s="4">
        <v>2610</v>
      </c>
      <c r="B430" s="10">
        <v>500025</v>
      </c>
      <c r="C430" s="11" t="s">
        <v>16</v>
      </c>
      <c r="D430" s="3">
        <v>46144</v>
      </c>
      <c r="E430" s="15" t="s">
        <v>9</v>
      </c>
      <c r="F430" s="16" t="s">
        <v>10</v>
      </c>
      <c r="G430" s="7">
        <v>676287696499</v>
      </c>
      <c r="H430" s="13">
        <v>0</v>
      </c>
      <c r="I430" s="13">
        <v>750</v>
      </c>
    </row>
    <row r="431" spans="1:9" ht="9.9499999999999993" customHeight="1">
      <c r="A431" s="4">
        <v>2611</v>
      </c>
      <c r="B431" s="10">
        <v>500025</v>
      </c>
      <c r="C431" s="11" t="s">
        <v>15</v>
      </c>
      <c r="D431" s="3">
        <v>46144</v>
      </c>
      <c r="E431" s="15" t="s">
        <v>9</v>
      </c>
      <c r="F431" s="16" t="s">
        <v>10</v>
      </c>
      <c r="G431" s="7">
        <v>27251614780</v>
      </c>
      <c r="H431" s="13">
        <v>0</v>
      </c>
      <c r="I431" s="13">
        <v>367.17</v>
      </c>
    </row>
    <row r="432" spans="1:9" ht="9.9499999999999993" customHeight="1">
      <c r="A432" s="4">
        <v>2612</v>
      </c>
      <c r="B432" s="10">
        <v>500025</v>
      </c>
      <c r="C432" s="11" t="s">
        <v>14</v>
      </c>
      <c r="D432" s="3">
        <v>46145</v>
      </c>
      <c r="E432" s="15" t="s">
        <v>9</v>
      </c>
      <c r="F432" s="16" t="s">
        <v>10</v>
      </c>
      <c r="G432" s="7">
        <v>210058136701</v>
      </c>
      <c r="H432" s="13">
        <v>0</v>
      </c>
      <c r="I432" s="13">
        <v>255.75</v>
      </c>
    </row>
    <row r="433" spans="1:9" ht="9.9499999999999993" customHeight="1">
      <c r="A433" s="4">
        <v>2613</v>
      </c>
      <c r="B433" s="10">
        <v>500025</v>
      </c>
      <c r="C433" s="11" t="s">
        <v>14</v>
      </c>
      <c r="D433" s="3">
        <v>46145</v>
      </c>
      <c r="E433" s="15" t="s">
        <v>9</v>
      </c>
      <c r="F433" s="16" t="s">
        <v>10</v>
      </c>
      <c r="G433" s="7">
        <v>210059019427</v>
      </c>
      <c r="H433" s="13">
        <v>0</v>
      </c>
      <c r="I433" s="13">
        <v>301.08</v>
      </c>
    </row>
    <row r="434" spans="1:9" ht="9.9499999999999993" customHeight="1">
      <c r="A434" s="4">
        <v>2614</v>
      </c>
      <c r="B434" s="10">
        <v>500025</v>
      </c>
      <c r="C434" s="11" t="s">
        <v>15</v>
      </c>
      <c r="D434" s="3">
        <v>46145</v>
      </c>
      <c r="E434" s="15" t="s">
        <v>9</v>
      </c>
      <c r="F434" s="16" t="s">
        <v>10</v>
      </c>
      <c r="G434" s="7">
        <v>27255997092</v>
      </c>
      <c r="H434" s="13">
        <v>0</v>
      </c>
      <c r="I434" s="13">
        <v>301.07</v>
      </c>
    </row>
    <row r="435" spans="1:9" ht="9.9499999999999993" customHeight="1">
      <c r="A435" s="4">
        <v>2615</v>
      </c>
      <c r="B435" s="10">
        <v>500025</v>
      </c>
      <c r="C435" s="11" t="s">
        <v>14</v>
      </c>
      <c r="D435" s="3">
        <v>46145</v>
      </c>
      <c r="E435" s="15" t="s">
        <v>9</v>
      </c>
      <c r="F435" s="16" t="s">
        <v>10</v>
      </c>
      <c r="G435" s="7">
        <v>210059660485</v>
      </c>
      <c r="H435" s="13">
        <v>0</v>
      </c>
      <c r="I435" s="13">
        <v>182.67</v>
      </c>
    </row>
    <row r="436" spans="1:9" ht="9.9499999999999993" customHeight="1">
      <c r="A436" s="4">
        <v>2616</v>
      </c>
      <c r="B436" s="10">
        <v>500025</v>
      </c>
      <c r="C436" s="11" t="s">
        <v>15</v>
      </c>
      <c r="D436" s="3">
        <v>46145</v>
      </c>
      <c r="E436" s="15" t="s">
        <v>9</v>
      </c>
      <c r="F436" s="16" t="s">
        <v>10</v>
      </c>
      <c r="G436" s="7">
        <v>27252509535</v>
      </c>
      <c r="H436" s="13">
        <v>0</v>
      </c>
      <c r="I436" s="13">
        <v>514.03</v>
      </c>
    </row>
    <row r="437" spans="1:9" ht="9.9499999999999993" customHeight="1">
      <c r="A437" s="4">
        <v>2617</v>
      </c>
      <c r="B437" s="10">
        <v>500025</v>
      </c>
      <c r="C437" s="11" t="s">
        <v>15</v>
      </c>
      <c r="D437" s="3">
        <v>46146</v>
      </c>
      <c r="E437" s="15" t="s">
        <v>9</v>
      </c>
      <c r="F437" s="16" t="s">
        <v>10</v>
      </c>
      <c r="G437" s="7">
        <v>27256107651</v>
      </c>
      <c r="H437" s="13">
        <v>0</v>
      </c>
      <c r="I437" s="13">
        <v>220.28</v>
      </c>
    </row>
    <row r="438" spans="1:9" ht="9.9499999999999993" customHeight="1">
      <c r="A438" s="4">
        <v>2618</v>
      </c>
      <c r="B438" s="10">
        <v>500025</v>
      </c>
      <c r="C438" s="11" t="s">
        <v>15</v>
      </c>
      <c r="D438" s="3">
        <v>46146</v>
      </c>
      <c r="E438" s="15" t="s">
        <v>9</v>
      </c>
      <c r="F438" s="16" t="s">
        <v>10</v>
      </c>
      <c r="G438" s="7">
        <v>27256183773</v>
      </c>
      <c r="H438" s="13">
        <v>0</v>
      </c>
      <c r="I438" s="13">
        <v>220.2</v>
      </c>
    </row>
    <row r="439" spans="1:9" ht="9.9499999999999993" customHeight="1">
      <c r="A439" s="4">
        <v>2619</v>
      </c>
      <c r="B439" s="10">
        <v>500025</v>
      </c>
      <c r="C439" s="11" t="s">
        <v>15</v>
      </c>
      <c r="D439" s="3">
        <v>46146</v>
      </c>
      <c r="E439" s="15" t="s">
        <v>9</v>
      </c>
      <c r="F439" s="16" t="s">
        <v>10</v>
      </c>
      <c r="G439" s="7">
        <v>27256185577</v>
      </c>
      <c r="H439" s="13">
        <v>0</v>
      </c>
      <c r="I439" s="13">
        <v>367.13</v>
      </c>
    </row>
    <row r="440" spans="1:9" ht="9.9499999999999993" customHeight="1">
      <c r="A440" s="4">
        <v>2620</v>
      </c>
      <c r="B440" s="10">
        <v>500025</v>
      </c>
      <c r="C440" s="11" t="s">
        <v>14</v>
      </c>
      <c r="D440" s="3">
        <v>46146</v>
      </c>
      <c r="E440" s="15" t="s">
        <v>9</v>
      </c>
      <c r="F440" s="16" t="s">
        <v>10</v>
      </c>
      <c r="G440" s="7">
        <v>210060992727</v>
      </c>
      <c r="H440" s="13">
        <v>0</v>
      </c>
      <c r="I440" s="13">
        <v>367.17</v>
      </c>
    </row>
    <row r="441" spans="1:9" ht="9.9499999999999993" customHeight="1">
      <c r="A441" s="4">
        <v>2621</v>
      </c>
      <c r="B441" s="10">
        <v>500025</v>
      </c>
      <c r="C441" s="11" t="s">
        <v>14</v>
      </c>
      <c r="D441" s="3">
        <v>46146</v>
      </c>
      <c r="E441" s="15" t="s">
        <v>9</v>
      </c>
      <c r="F441" s="16" t="s">
        <v>10</v>
      </c>
      <c r="G441" s="7">
        <v>210061631168</v>
      </c>
      <c r="H441" s="13">
        <v>0</v>
      </c>
      <c r="I441" s="13">
        <v>337.79</v>
      </c>
    </row>
    <row r="442" spans="1:9" ht="9.9499999999999993" customHeight="1">
      <c r="A442" s="4">
        <v>2622</v>
      </c>
      <c r="B442" s="10">
        <v>500025</v>
      </c>
      <c r="C442" s="11" t="s">
        <v>15</v>
      </c>
      <c r="D442" s="3">
        <v>46146</v>
      </c>
      <c r="E442" s="15" t="s">
        <v>9</v>
      </c>
      <c r="F442" s="16" t="s">
        <v>10</v>
      </c>
      <c r="G442" s="7">
        <v>27249490692</v>
      </c>
      <c r="H442" s="13">
        <v>0</v>
      </c>
      <c r="I442" s="13">
        <v>881.19</v>
      </c>
    </row>
    <row r="443" spans="1:9" ht="9.9499999999999993" customHeight="1">
      <c r="A443" s="4">
        <v>2623</v>
      </c>
      <c r="B443" s="10">
        <v>500025</v>
      </c>
      <c r="C443" s="11" t="s">
        <v>15</v>
      </c>
      <c r="D443" s="3">
        <v>46146</v>
      </c>
      <c r="E443" s="15" t="s">
        <v>9</v>
      </c>
      <c r="F443" s="16" t="s">
        <v>10</v>
      </c>
      <c r="G443" s="7">
        <v>27253451515</v>
      </c>
      <c r="H443" s="13">
        <v>0</v>
      </c>
      <c r="I443" s="13">
        <v>440.6</v>
      </c>
    </row>
    <row r="444" spans="1:9" ht="9.9499999999999993" customHeight="1">
      <c r="A444" s="4">
        <v>2624</v>
      </c>
      <c r="B444" s="10">
        <v>500025</v>
      </c>
      <c r="C444" s="11" t="s">
        <v>15</v>
      </c>
      <c r="D444" s="3">
        <v>46147</v>
      </c>
      <c r="E444" s="15" t="s">
        <v>9</v>
      </c>
      <c r="F444" s="16" t="s">
        <v>10</v>
      </c>
      <c r="G444" s="7">
        <v>27256484165</v>
      </c>
      <c r="H444" s="13">
        <v>0</v>
      </c>
      <c r="I444" s="13">
        <v>220.5</v>
      </c>
    </row>
    <row r="445" spans="1:9" ht="9.9499999999999993" customHeight="1">
      <c r="A445" s="4">
        <v>2625</v>
      </c>
      <c r="B445" s="10">
        <v>500025</v>
      </c>
      <c r="C445" s="11" t="s">
        <v>15</v>
      </c>
      <c r="D445" s="3">
        <v>46147</v>
      </c>
      <c r="E445" s="15" t="s">
        <v>9</v>
      </c>
      <c r="F445" s="16" t="s">
        <v>10</v>
      </c>
      <c r="G445" s="7">
        <v>27256595750</v>
      </c>
      <c r="H445" s="13">
        <v>0</v>
      </c>
      <c r="I445" s="13">
        <v>367.5</v>
      </c>
    </row>
    <row r="446" spans="1:9" ht="9.9499999999999993" customHeight="1">
      <c r="A446" s="4">
        <v>2626</v>
      </c>
      <c r="B446" s="10">
        <v>500025</v>
      </c>
      <c r="C446" s="11" t="s">
        <v>15</v>
      </c>
      <c r="D446" s="3">
        <v>46147</v>
      </c>
      <c r="E446" s="15" t="s">
        <v>9</v>
      </c>
      <c r="F446" s="16" t="s">
        <v>10</v>
      </c>
      <c r="G446" s="7">
        <v>27251818629</v>
      </c>
      <c r="H446" s="13">
        <v>0</v>
      </c>
      <c r="I446" s="13">
        <v>147</v>
      </c>
    </row>
    <row r="447" spans="1:9" ht="9.9499999999999993" customHeight="1">
      <c r="A447" s="4">
        <v>2627</v>
      </c>
      <c r="B447" s="10">
        <v>500025</v>
      </c>
      <c r="C447" s="11" t="s">
        <v>14</v>
      </c>
      <c r="D447" s="3">
        <v>46147</v>
      </c>
      <c r="E447" s="15" t="s">
        <v>9</v>
      </c>
      <c r="F447" s="16" t="s">
        <v>10</v>
      </c>
      <c r="G447" s="7">
        <v>210063412859</v>
      </c>
      <c r="H447" s="13">
        <v>0</v>
      </c>
      <c r="I447" s="13">
        <v>294.02999999999997</v>
      </c>
    </row>
    <row r="448" spans="1:9" ht="9.9499999999999993" customHeight="1">
      <c r="A448" s="4">
        <v>2628</v>
      </c>
      <c r="B448" s="10">
        <v>500025</v>
      </c>
      <c r="C448" s="11" t="s">
        <v>16</v>
      </c>
      <c r="D448" s="3">
        <v>46147</v>
      </c>
      <c r="E448" s="15" t="s">
        <v>9</v>
      </c>
      <c r="F448" s="16" t="s">
        <v>10</v>
      </c>
      <c r="G448" s="7">
        <v>676288228422</v>
      </c>
      <c r="H448" s="13">
        <v>0</v>
      </c>
      <c r="I448" s="13">
        <v>50</v>
      </c>
    </row>
    <row r="449" spans="1:9" ht="9.9499999999999993" customHeight="1">
      <c r="A449" s="4">
        <v>2629</v>
      </c>
      <c r="B449" s="10">
        <v>500025</v>
      </c>
      <c r="C449" s="11" t="s">
        <v>42</v>
      </c>
      <c r="D449" s="3">
        <v>46148</v>
      </c>
      <c r="E449" s="15" t="s">
        <v>9</v>
      </c>
      <c r="F449" s="16" t="s">
        <v>10</v>
      </c>
      <c r="G449" s="7">
        <v>429715392185</v>
      </c>
      <c r="H449" s="13">
        <v>0</v>
      </c>
      <c r="I449" s="13">
        <v>138.6</v>
      </c>
    </row>
    <row r="450" spans="1:9" ht="9.9499999999999993" customHeight="1">
      <c r="A450" s="4">
        <v>2630</v>
      </c>
      <c r="B450" s="10">
        <v>500025</v>
      </c>
      <c r="C450" s="11" t="s">
        <v>14</v>
      </c>
      <c r="D450" s="3">
        <v>46148</v>
      </c>
      <c r="E450" s="15" t="s">
        <v>9</v>
      </c>
      <c r="F450" s="16" t="s">
        <v>10</v>
      </c>
      <c r="G450" s="7">
        <v>210065264027</v>
      </c>
      <c r="H450" s="13">
        <v>0</v>
      </c>
      <c r="I450" s="13">
        <v>588.05999999999995</v>
      </c>
    </row>
    <row r="451" spans="1:9" ht="9.9499999999999993" customHeight="1">
      <c r="A451" s="4">
        <v>2631</v>
      </c>
      <c r="B451" s="10">
        <v>500025</v>
      </c>
      <c r="C451" s="11" t="s">
        <v>14</v>
      </c>
      <c r="D451" s="3">
        <v>46148</v>
      </c>
      <c r="E451" s="15" t="s">
        <v>9</v>
      </c>
      <c r="F451" s="16" t="s">
        <v>10</v>
      </c>
      <c r="G451" s="7">
        <v>210065421059</v>
      </c>
      <c r="H451" s="13">
        <v>0</v>
      </c>
      <c r="I451" s="13">
        <v>407.04</v>
      </c>
    </row>
    <row r="452" spans="1:9" ht="9.9499999999999993" customHeight="1">
      <c r="A452" s="4">
        <v>2632</v>
      </c>
      <c r="B452" s="10">
        <v>500025</v>
      </c>
      <c r="C452" s="11" t="s">
        <v>15</v>
      </c>
      <c r="D452" s="3">
        <v>46148</v>
      </c>
      <c r="E452" s="15" t="s">
        <v>9</v>
      </c>
      <c r="F452" s="16" t="s">
        <v>10</v>
      </c>
      <c r="G452" s="7">
        <v>27256993258</v>
      </c>
      <c r="H452" s="13">
        <v>0</v>
      </c>
      <c r="I452" s="13">
        <v>148.05000000000001</v>
      </c>
    </row>
    <row r="453" spans="1:9" ht="9.9499999999999993" customHeight="1">
      <c r="A453" s="4">
        <v>2633</v>
      </c>
      <c r="B453" s="10">
        <v>500025</v>
      </c>
      <c r="C453" s="11" t="s">
        <v>15</v>
      </c>
      <c r="D453" s="3">
        <v>46148</v>
      </c>
      <c r="E453" s="15" t="s">
        <v>9</v>
      </c>
      <c r="F453" s="16" t="s">
        <v>10</v>
      </c>
      <c r="G453" s="7">
        <v>27266102671</v>
      </c>
      <c r="H453" s="13">
        <v>0</v>
      </c>
      <c r="I453" s="13">
        <v>444.04</v>
      </c>
    </row>
    <row r="454" spans="1:9" ht="9.9499999999999993" customHeight="1">
      <c r="A454" s="4">
        <v>2634</v>
      </c>
      <c r="B454" s="10">
        <v>500025</v>
      </c>
      <c r="C454" s="11" t="s">
        <v>15</v>
      </c>
      <c r="D454" s="3">
        <v>46148</v>
      </c>
      <c r="E454" s="15" t="s">
        <v>9</v>
      </c>
      <c r="F454" s="16" t="s">
        <v>10</v>
      </c>
      <c r="G454" s="7">
        <v>27255336131</v>
      </c>
      <c r="H454" s="13">
        <v>0</v>
      </c>
      <c r="I454" s="13">
        <v>444.04</v>
      </c>
    </row>
    <row r="455" spans="1:9" ht="9.9499999999999993" customHeight="1">
      <c r="A455" s="4">
        <v>2635</v>
      </c>
      <c r="B455" s="10">
        <v>500025</v>
      </c>
      <c r="C455" s="11" t="s">
        <v>15</v>
      </c>
      <c r="D455" s="3">
        <v>46149</v>
      </c>
      <c r="E455" s="15" t="s">
        <v>9</v>
      </c>
      <c r="F455" s="16" t="s">
        <v>10</v>
      </c>
      <c r="G455" s="7">
        <v>27257232893</v>
      </c>
      <c r="H455" s="13">
        <v>0</v>
      </c>
      <c r="I455" s="13">
        <v>372.6</v>
      </c>
    </row>
    <row r="456" spans="1:9" ht="9.9499999999999993" customHeight="1">
      <c r="A456" s="4">
        <v>2636</v>
      </c>
      <c r="B456" s="10">
        <v>500025</v>
      </c>
      <c r="C456" s="11" t="s">
        <v>42</v>
      </c>
      <c r="D456" s="3">
        <v>46149</v>
      </c>
      <c r="E456" s="15" t="s">
        <v>9</v>
      </c>
      <c r="F456" s="16" t="s">
        <v>10</v>
      </c>
      <c r="G456" s="7">
        <v>429715410459</v>
      </c>
      <c r="H456" s="13">
        <v>0</v>
      </c>
      <c r="I456" s="13">
        <v>315.27999999999997</v>
      </c>
    </row>
    <row r="457" spans="1:9" ht="9.9499999999999993" customHeight="1">
      <c r="A457" s="4">
        <v>2637</v>
      </c>
      <c r="B457" s="10">
        <v>500025</v>
      </c>
      <c r="C457" s="11" t="s">
        <v>15</v>
      </c>
      <c r="D457" s="3">
        <v>46149</v>
      </c>
      <c r="E457" s="15" t="s">
        <v>9</v>
      </c>
      <c r="F457" s="16" t="s">
        <v>10</v>
      </c>
      <c r="G457" s="7">
        <v>27256312824</v>
      </c>
      <c r="H457" s="13">
        <v>0</v>
      </c>
      <c r="I457" s="13">
        <v>521.66999999999996</v>
      </c>
    </row>
    <row r="458" spans="1:9" ht="9.9499999999999993" customHeight="1">
      <c r="A458" s="4">
        <v>2638</v>
      </c>
      <c r="B458" s="10">
        <v>500025</v>
      </c>
      <c r="C458" s="11" t="s">
        <v>14</v>
      </c>
      <c r="D458" s="3">
        <v>46150</v>
      </c>
      <c r="E458" s="15" t="s">
        <v>9</v>
      </c>
      <c r="F458" s="16" t="s">
        <v>10</v>
      </c>
      <c r="G458" s="7">
        <v>210068683818</v>
      </c>
      <c r="H458" s="13">
        <v>0</v>
      </c>
      <c r="I458" s="13">
        <v>262.44</v>
      </c>
    </row>
    <row r="459" spans="1:9" ht="9.9499999999999993" customHeight="1">
      <c r="A459" s="4">
        <v>2639</v>
      </c>
      <c r="B459" s="10">
        <v>500025</v>
      </c>
      <c r="C459" s="11" t="s">
        <v>16</v>
      </c>
      <c r="D459" s="3">
        <v>46150</v>
      </c>
      <c r="E459" s="15" t="s">
        <v>9</v>
      </c>
      <c r="F459" s="16" t="s">
        <v>10</v>
      </c>
      <c r="G459" s="7">
        <v>676288598637</v>
      </c>
      <c r="H459" s="13">
        <v>0</v>
      </c>
      <c r="I459" s="13">
        <v>100</v>
      </c>
    </row>
    <row r="460" spans="1:9" ht="9.9499999999999993" customHeight="1">
      <c r="A460" s="4">
        <v>2640</v>
      </c>
      <c r="B460" s="10">
        <v>500025</v>
      </c>
      <c r="C460" s="11" t="s">
        <v>16</v>
      </c>
      <c r="D460" s="3">
        <v>46150</v>
      </c>
      <c r="E460" s="15" t="s">
        <v>9</v>
      </c>
      <c r="F460" s="16" t="s">
        <v>10</v>
      </c>
      <c r="G460" s="7">
        <v>676290756442</v>
      </c>
      <c r="H460" s="13">
        <v>0</v>
      </c>
      <c r="I460" s="13">
        <v>137.26</v>
      </c>
    </row>
    <row r="461" spans="1:9" ht="9.9499999999999993" customHeight="1">
      <c r="A461" s="4">
        <v>2641</v>
      </c>
      <c r="B461" s="10">
        <v>500025</v>
      </c>
      <c r="C461" s="11" t="s">
        <v>15</v>
      </c>
      <c r="D461" s="3">
        <v>46150</v>
      </c>
      <c r="E461" s="15" t="s">
        <v>9</v>
      </c>
      <c r="F461" s="16" t="s">
        <v>10</v>
      </c>
      <c r="G461" s="7">
        <v>27257580684</v>
      </c>
      <c r="H461" s="13">
        <v>0</v>
      </c>
      <c r="I461" s="13">
        <v>75</v>
      </c>
    </row>
    <row r="462" spans="1:9" ht="9.9499999999999993" customHeight="1">
      <c r="A462" s="4">
        <v>2642</v>
      </c>
      <c r="B462" s="10">
        <v>500025</v>
      </c>
      <c r="C462" s="11" t="s">
        <v>15</v>
      </c>
      <c r="D462" s="3">
        <v>46150</v>
      </c>
      <c r="E462" s="15" t="s">
        <v>9</v>
      </c>
      <c r="F462" s="16" t="s">
        <v>10</v>
      </c>
      <c r="G462" s="7">
        <v>27281812996</v>
      </c>
      <c r="H462" s="13">
        <v>0</v>
      </c>
      <c r="I462" s="13">
        <v>674.81</v>
      </c>
    </row>
    <row r="463" spans="1:9" ht="9.9499999999999993" customHeight="1">
      <c r="A463" s="4">
        <v>2643</v>
      </c>
      <c r="B463" s="10">
        <v>500025</v>
      </c>
      <c r="C463" s="11" t="s">
        <v>15</v>
      </c>
      <c r="D463" s="3">
        <v>46150</v>
      </c>
      <c r="E463" s="15" t="s">
        <v>9</v>
      </c>
      <c r="F463" s="16" t="s">
        <v>10</v>
      </c>
      <c r="G463" s="7">
        <v>27257614259</v>
      </c>
      <c r="H463" s="13">
        <v>0</v>
      </c>
      <c r="I463" s="13">
        <v>525</v>
      </c>
    </row>
    <row r="464" spans="1:9" ht="9.9499999999999993" customHeight="1">
      <c r="A464" s="4">
        <v>2644</v>
      </c>
      <c r="B464" s="10">
        <v>500025</v>
      </c>
      <c r="C464" s="11" t="s">
        <v>16</v>
      </c>
      <c r="D464" s="3">
        <v>46150</v>
      </c>
      <c r="E464" s="15" t="s">
        <v>9</v>
      </c>
      <c r="F464" s="16" t="s">
        <v>10</v>
      </c>
      <c r="G464" s="7">
        <v>676290788599</v>
      </c>
      <c r="H464" s="13">
        <v>0</v>
      </c>
      <c r="I464" s="13">
        <v>50</v>
      </c>
    </row>
    <row r="465" spans="1:9" ht="9.9499999999999993" customHeight="1">
      <c r="A465" s="4">
        <v>2645</v>
      </c>
      <c r="B465" s="10">
        <v>500025</v>
      </c>
      <c r="C465" s="11" t="s">
        <v>15</v>
      </c>
      <c r="D465" s="3">
        <v>46150</v>
      </c>
      <c r="E465" s="15" t="s">
        <v>9</v>
      </c>
      <c r="F465" s="16" t="s">
        <v>10</v>
      </c>
      <c r="G465" s="7">
        <v>27282614081</v>
      </c>
      <c r="H465" s="13">
        <v>0</v>
      </c>
      <c r="I465" s="13">
        <v>449.87</v>
      </c>
    </row>
    <row r="466" spans="1:9" ht="9.9499999999999993" customHeight="1">
      <c r="A466" s="4">
        <v>2646</v>
      </c>
      <c r="B466" s="10">
        <v>500025</v>
      </c>
      <c r="C466" s="11" t="s">
        <v>14</v>
      </c>
      <c r="D466" s="3">
        <v>46150</v>
      </c>
      <c r="E466" s="15" t="s">
        <v>9</v>
      </c>
      <c r="F466" s="16" t="s">
        <v>10</v>
      </c>
      <c r="G466" s="7">
        <v>210069958298</v>
      </c>
      <c r="H466" s="13">
        <v>0</v>
      </c>
      <c r="I466" s="13">
        <v>839.77</v>
      </c>
    </row>
    <row r="467" spans="1:9" ht="9.9499999999999993" customHeight="1">
      <c r="A467" s="4">
        <v>2647</v>
      </c>
      <c r="B467" s="10">
        <v>500025</v>
      </c>
      <c r="C467" s="11" t="s">
        <v>14</v>
      </c>
      <c r="D467" s="3">
        <v>46151</v>
      </c>
      <c r="E467" s="15" t="s">
        <v>9</v>
      </c>
      <c r="F467" s="16" t="s">
        <v>10</v>
      </c>
      <c r="G467" s="7">
        <v>210070824137</v>
      </c>
      <c r="H467" s="13">
        <v>0</v>
      </c>
      <c r="I467" s="13">
        <v>187.45</v>
      </c>
    </row>
    <row r="468" spans="1:9" ht="9.9499999999999993" customHeight="1">
      <c r="A468" s="4">
        <v>2648</v>
      </c>
      <c r="B468" s="10">
        <v>500025</v>
      </c>
      <c r="C468" s="11" t="s">
        <v>15</v>
      </c>
      <c r="D468" s="3">
        <v>46151</v>
      </c>
      <c r="E468" s="15" t="s">
        <v>9</v>
      </c>
      <c r="F468" s="16" t="s">
        <v>10</v>
      </c>
      <c r="G468" s="7">
        <v>27258649647</v>
      </c>
      <c r="H468" s="13">
        <v>0</v>
      </c>
      <c r="I468" s="13">
        <v>1050.97</v>
      </c>
    </row>
    <row r="469" spans="1:9" ht="9.9499999999999993" customHeight="1">
      <c r="A469" s="4">
        <v>2649</v>
      </c>
      <c r="B469" s="10">
        <v>500025</v>
      </c>
      <c r="C469" s="11" t="s">
        <v>16</v>
      </c>
      <c r="D469" s="3">
        <v>46152</v>
      </c>
      <c r="E469" s="15" t="s">
        <v>9</v>
      </c>
      <c r="F469" s="16" t="s">
        <v>10</v>
      </c>
      <c r="G469" s="7">
        <v>676290879088</v>
      </c>
      <c r="H469" s="13">
        <v>0</v>
      </c>
      <c r="I469" s="13">
        <v>212.44</v>
      </c>
    </row>
    <row r="470" spans="1:9" ht="9.9499999999999993" customHeight="1">
      <c r="A470" s="4">
        <v>2650</v>
      </c>
      <c r="B470" s="10">
        <v>500025</v>
      </c>
      <c r="C470" s="11" t="s">
        <v>15</v>
      </c>
      <c r="D470" s="3">
        <v>46152</v>
      </c>
      <c r="E470" s="15" t="s">
        <v>9</v>
      </c>
      <c r="F470" s="16" t="s">
        <v>10</v>
      </c>
      <c r="G470" s="7">
        <v>27259388484</v>
      </c>
      <c r="H470" s="13">
        <v>0</v>
      </c>
      <c r="I470" s="13">
        <v>450.41</v>
      </c>
    </row>
    <row r="471" spans="1:9" ht="9.9499999999999993" customHeight="1">
      <c r="A471" s="4">
        <v>2651</v>
      </c>
      <c r="B471" s="10">
        <v>500025</v>
      </c>
      <c r="C471" s="11" t="s">
        <v>16</v>
      </c>
      <c r="D471" s="3">
        <v>46153</v>
      </c>
      <c r="E471" s="15" t="s">
        <v>9</v>
      </c>
      <c r="F471" s="16" t="s">
        <v>10</v>
      </c>
      <c r="G471" s="7">
        <v>676290894899</v>
      </c>
      <c r="H471" s="13">
        <v>0</v>
      </c>
      <c r="I471" s="13">
        <v>113.85</v>
      </c>
    </row>
    <row r="472" spans="1:9" ht="9.9499999999999993" customHeight="1">
      <c r="A472" s="4">
        <v>2652</v>
      </c>
      <c r="B472" s="10">
        <v>500025</v>
      </c>
      <c r="C472" s="11" t="s">
        <v>42</v>
      </c>
      <c r="D472" s="3">
        <v>46153</v>
      </c>
      <c r="E472" s="15" t="s">
        <v>9</v>
      </c>
      <c r="F472" s="16" t="s">
        <v>10</v>
      </c>
      <c r="G472" s="7">
        <v>429715462986</v>
      </c>
      <c r="H472" s="13">
        <v>0</v>
      </c>
      <c r="I472" s="13">
        <v>106.2</v>
      </c>
    </row>
    <row r="473" spans="1:9" ht="9.9499999999999993" customHeight="1">
      <c r="A473" s="4">
        <v>2653</v>
      </c>
      <c r="B473" s="10">
        <v>500025</v>
      </c>
      <c r="C473" s="11" t="s">
        <v>42</v>
      </c>
      <c r="D473" s="3">
        <v>46153</v>
      </c>
      <c r="E473" s="15" t="s">
        <v>9</v>
      </c>
      <c r="F473" s="16" t="s">
        <v>10</v>
      </c>
      <c r="G473" s="7">
        <v>429715463833</v>
      </c>
      <c r="H473" s="13">
        <v>0</v>
      </c>
      <c r="I473" s="13">
        <v>150.26</v>
      </c>
    </row>
    <row r="474" spans="1:9" ht="9.9499999999999993" customHeight="1">
      <c r="A474" s="4">
        <v>2654</v>
      </c>
      <c r="B474" s="10">
        <v>500025</v>
      </c>
      <c r="C474" s="11" t="s">
        <v>51</v>
      </c>
      <c r="D474" s="3">
        <v>46154</v>
      </c>
      <c r="E474" s="15" t="s">
        <v>9</v>
      </c>
      <c r="F474" s="16" t="s">
        <v>10</v>
      </c>
      <c r="G474" s="7">
        <v>597315482554</v>
      </c>
      <c r="H474" s="13">
        <v>0</v>
      </c>
      <c r="I474" s="13">
        <v>60.95</v>
      </c>
    </row>
    <row r="475" spans="1:9" ht="9.9499999999999993" customHeight="1">
      <c r="A475" s="4">
        <v>2655</v>
      </c>
      <c r="B475" s="10">
        <v>500025</v>
      </c>
      <c r="C475" s="11" t="s">
        <v>14</v>
      </c>
      <c r="D475" s="3">
        <v>46154</v>
      </c>
      <c r="E475" s="15" t="s">
        <v>9</v>
      </c>
      <c r="F475" s="16" t="s">
        <v>10</v>
      </c>
      <c r="G475" s="7">
        <v>210077941135</v>
      </c>
      <c r="H475" s="13">
        <v>0</v>
      </c>
      <c r="I475" s="13">
        <v>151.47999999999999</v>
      </c>
    </row>
    <row r="476" spans="1:9" ht="9.9499999999999993" customHeight="1">
      <c r="A476" s="4">
        <v>2656</v>
      </c>
      <c r="B476" s="10">
        <v>500025</v>
      </c>
      <c r="C476" s="11" t="s">
        <v>42</v>
      </c>
      <c r="D476" s="3">
        <v>46155</v>
      </c>
      <c r="E476" s="15" t="s">
        <v>9</v>
      </c>
      <c r="F476" s="16" t="s">
        <v>10</v>
      </c>
      <c r="G476" s="7">
        <v>429715495752</v>
      </c>
      <c r="H476" s="13">
        <v>0</v>
      </c>
      <c r="I476" s="13">
        <v>106.8</v>
      </c>
    </row>
    <row r="477" spans="1:9" ht="9.9499999999999993" customHeight="1">
      <c r="A477" s="4">
        <v>2657</v>
      </c>
      <c r="B477" s="10">
        <v>500025</v>
      </c>
      <c r="C477" s="11" t="s">
        <v>42</v>
      </c>
      <c r="D477" s="3">
        <v>46155</v>
      </c>
      <c r="E477" s="15" t="s">
        <v>9</v>
      </c>
      <c r="F477" s="16" t="s">
        <v>10</v>
      </c>
      <c r="G477" s="7">
        <v>429715496978</v>
      </c>
      <c r="H477" s="13">
        <v>0</v>
      </c>
      <c r="I477" s="13">
        <v>17.399999999999999</v>
      </c>
    </row>
    <row r="478" spans="1:9" ht="9.9499999999999993" customHeight="1">
      <c r="A478" s="4">
        <v>2658</v>
      </c>
      <c r="B478" s="10">
        <v>500025</v>
      </c>
      <c r="C478" s="11" t="s">
        <v>15</v>
      </c>
      <c r="D478" s="3">
        <v>46155</v>
      </c>
      <c r="E478" s="15" t="s">
        <v>9</v>
      </c>
      <c r="F478" s="16" t="s">
        <v>10</v>
      </c>
      <c r="G478" s="7">
        <v>27262120145</v>
      </c>
      <c r="H478" s="13">
        <v>0</v>
      </c>
      <c r="I478" s="13">
        <v>534.03</v>
      </c>
    </row>
    <row r="479" spans="1:9" ht="9.9499999999999993" customHeight="1">
      <c r="A479" s="4">
        <v>2659</v>
      </c>
      <c r="B479" s="10">
        <v>500025</v>
      </c>
      <c r="C479" s="11" t="s">
        <v>16</v>
      </c>
      <c r="D479" s="3">
        <v>46156</v>
      </c>
      <c r="E479" s="15" t="s">
        <v>9</v>
      </c>
      <c r="F479" s="16" t="s">
        <v>10</v>
      </c>
      <c r="G479" s="7">
        <v>676291470608</v>
      </c>
      <c r="H479" s="13">
        <v>0</v>
      </c>
      <c r="I479" s="13">
        <v>127.69</v>
      </c>
    </row>
    <row r="480" spans="1:9" ht="9.9499999999999993" customHeight="1">
      <c r="A480" s="4">
        <v>2660</v>
      </c>
      <c r="B480" s="10">
        <v>500025</v>
      </c>
      <c r="C480" s="11" t="s">
        <v>14</v>
      </c>
      <c r="D480" s="3">
        <v>46156</v>
      </c>
      <c r="E480" s="15" t="s">
        <v>9</v>
      </c>
      <c r="F480" s="16" t="s">
        <v>10</v>
      </c>
      <c r="G480" s="7">
        <v>210081301929</v>
      </c>
      <c r="H480" s="13">
        <v>0</v>
      </c>
      <c r="I480" s="13">
        <v>1532.36</v>
      </c>
    </row>
    <row r="481" spans="1:9" ht="9.9499999999999993" customHeight="1">
      <c r="A481" s="4">
        <v>2661</v>
      </c>
      <c r="B481" s="10">
        <v>500025</v>
      </c>
      <c r="C481" s="11" t="s">
        <v>14</v>
      </c>
      <c r="D481" s="3">
        <v>46156</v>
      </c>
      <c r="E481" s="15" t="s">
        <v>9</v>
      </c>
      <c r="F481" s="16" t="s">
        <v>10</v>
      </c>
      <c r="G481" s="7">
        <v>210081328151</v>
      </c>
      <c r="H481" s="13">
        <v>0</v>
      </c>
      <c r="I481" s="13">
        <v>1264.2</v>
      </c>
    </row>
    <row r="482" spans="1:9" ht="9.9499999999999993" customHeight="1">
      <c r="A482" s="4">
        <v>2662</v>
      </c>
      <c r="B482" s="10">
        <v>500025</v>
      </c>
      <c r="C482" s="11" t="s">
        <v>15</v>
      </c>
      <c r="D482" s="3">
        <v>46156</v>
      </c>
      <c r="E482" s="15" t="s">
        <v>9</v>
      </c>
      <c r="F482" s="16" t="s">
        <v>10</v>
      </c>
      <c r="G482" s="7">
        <v>27263066973</v>
      </c>
      <c r="H482" s="13">
        <v>0</v>
      </c>
      <c r="I482" s="13">
        <v>459.71</v>
      </c>
    </row>
    <row r="483" spans="1:9" ht="9.9499999999999993" customHeight="1">
      <c r="A483" s="4">
        <v>2663</v>
      </c>
      <c r="B483" s="10">
        <v>500025</v>
      </c>
      <c r="C483" s="11" t="s">
        <v>15</v>
      </c>
      <c r="D483" s="3">
        <v>46157</v>
      </c>
      <c r="E483" s="15" t="s">
        <v>9</v>
      </c>
      <c r="F483" s="16" t="s">
        <v>10</v>
      </c>
      <c r="G483" s="7">
        <v>27255763453</v>
      </c>
      <c r="H483" s="13">
        <v>0</v>
      </c>
      <c r="I483" s="13">
        <v>463.66</v>
      </c>
    </row>
    <row r="484" spans="1:9" ht="9.9499999999999993" customHeight="1">
      <c r="A484" s="4">
        <v>2664</v>
      </c>
      <c r="B484" s="10">
        <v>500025</v>
      </c>
      <c r="C484" s="11" t="s">
        <v>16</v>
      </c>
      <c r="D484" s="3">
        <v>46158</v>
      </c>
      <c r="E484" s="15" t="s">
        <v>9</v>
      </c>
      <c r="F484" s="16" t="s">
        <v>10</v>
      </c>
      <c r="G484" s="7">
        <v>676294883581</v>
      </c>
      <c r="H484" s="13">
        <v>0</v>
      </c>
      <c r="I484" s="13">
        <v>128.79</v>
      </c>
    </row>
    <row r="485" spans="1:9" ht="9.9499999999999993" customHeight="1">
      <c r="A485" s="4">
        <v>2665</v>
      </c>
      <c r="B485" s="10">
        <v>500025</v>
      </c>
      <c r="C485" s="11" t="s">
        <v>15</v>
      </c>
      <c r="D485" s="3">
        <v>46159</v>
      </c>
      <c r="E485" s="15" t="s">
        <v>9</v>
      </c>
      <c r="F485" s="16" t="s">
        <v>10</v>
      </c>
      <c r="G485" s="7">
        <v>27250729961</v>
      </c>
      <c r="H485" s="13">
        <v>0</v>
      </c>
      <c r="I485" s="13">
        <v>233.1</v>
      </c>
    </row>
    <row r="486" spans="1:9" ht="9.9499999999999993" customHeight="1">
      <c r="A486" s="4">
        <v>2666</v>
      </c>
      <c r="B486" s="10">
        <v>500025</v>
      </c>
      <c r="C486" s="11" t="s">
        <v>51</v>
      </c>
      <c r="D486" s="3">
        <v>46160</v>
      </c>
      <c r="E486" s="15" t="s">
        <v>9</v>
      </c>
      <c r="F486" s="16" t="s">
        <v>10</v>
      </c>
      <c r="G486" s="7">
        <v>597315579636</v>
      </c>
      <c r="H486" s="13">
        <v>0</v>
      </c>
      <c r="I486" s="13">
        <v>110.64</v>
      </c>
    </row>
    <row r="487" spans="1:9" ht="9.9499999999999993" customHeight="1">
      <c r="A487" s="4">
        <v>2667</v>
      </c>
      <c r="B487" s="10">
        <v>500025</v>
      </c>
      <c r="C487" s="11" t="s">
        <v>15</v>
      </c>
      <c r="D487" s="3">
        <v>46160</v>
      </c>
      <c r="E487" s="15" t="s">
        <v>9</v>
      </c>
      <c r="F487" s="16" t="s">
        <v>10</v>
      </c>
      <c r="G487" s="7">
        <v>27251037393</v>
      </c>
      <c r="H487" s="13">
        <v>0</v>
      </c>
      <c r="I487" s="13">
        <v>150</v>
      </c>
    </row>
    <row r="488" spans="1:9" ht="9.9499999999999993" customHeight="1">
      <c r="A488" s="4">
        <v>2668</v>
      </c>
      <c r="B488" s="10">
        <v>500025</v>
      </c>
      <c r="C488" s="11" t="s">
        <v>14</v>
      </c>
      <c r="D488" s="3">
        <v>46160</v>
      </c>
      <c r="E488" s="15" t="s">
        <v>9</v>
      </c>
      <c r="F488" s="16" t="s">
        <v>10</v>
      </c>
      <c r="G488" s="7">
        <v>210091206293</v>
      </c>
      <c r="H488" s="13">
        <v>0</v>
      </c>
      <c r="I488" s="13">
        <v>618.23</v>
      </c>
    </row>
    <row r="489" spans="1:9" ht="9.9499999999999993" customHeight="1">
      <c r="A489" s="4">
        <v>2669</v>
      </c>
      <c r="B489" s="10">
        <v>500025</v>
      </c>
      <c r="C489" s="11" t="s">
        <v>15</v>
      </c>
      <c r="D489" s="3">
        <v>46160</v>
      </c>
      <c r="E489" s="15" t="s">
        <v>9</v>
      </c>
      <c r="F489" s="16" t="s">
        <v>10</v>
      </c>
      <c r="G489" s="7">
        <v>27251140287</v>
      </c>
      <c r="H489" s="13">
        <v>0</v>
      </c>
      <c r="I489" s="13">
        <v>777</v>
      </c>
    </row>
    <row r="490" spans="1:9" ht="9.9499999999999993" customHeight="1">
      <c r="A490" s="4">
        <v>2670</v>
      </c>
      <c r="B490" s="10">
        <v>500025</v>
      </c>
      <c r="C490" s="11" t="s">
        <v>14</v>
      </c>
      <c r="D490" s="3">
        <v>46160</v>
      </c>
      <c r="E490" s="15" t="s">
        <v>9</v>
      </c>
      <c r="F490" s="16" t="s">
        <v>10</v>
      </c>
      <c r="G490" s="7">
        <v>210091425606</v>
      </c>
      <c r="H490" s="13">
        <v>0</v>
      </c>
      <c r="I490" s="13">
        <v>1553.89</v>
      </c>
    </row>
    <row r="491" spans="1:9" ht="9.9499999999999993" customHeight="1">
      <c r="A491" s="4">
        <v>2671</v>
      </c>
      <c r="B491" s="10">
        <v>500025</v>
      </c>
      <c r="C491" s="11" t="s">
        <v>51</v>
      </c>
      <c r="D491" s="3">
        <v>46161</v>
      </c>
      <c r="E491" s="15" t="s">
        <v>9</v>
      </c>
      <c r="F491" s="16" t="s">
        <v>10</v>
      </c>
      <c r="G491" s="7">
        <v>597315596538</v>
      </c>
      <c r="H491" s="13">
        <v>0</v>
      </c>
      <c r="I491" s="13">
        <v>63.08</v>
      </c>
    </row>
    <row r="492" spans="1:9" ht="9.9499999999999993" customHeight="1">
      <c r="A492" s="4">
        <v>2672</v>
      </c>
      <c r="B492" s="10">
        <v>500025</v>
      </c>
      <c r="C492" s="11" t="s">
        <v>16</v>
      </c>
      <c r="D492" s="3">
        <v>46161</v>
      </c>
      <c r="E492" s="15" t="s">
        <v>9</v>
      </c>
      <c r="F492" s="16" t="s">
        <v>10</v>
      </c>
      <c r="G492" s="7">
        <v>676295038248</v>
      </c>
      <c r="H492" s="13">
        <v>0</v>
      </c>
      <c r="I492" s="13">
        <v>161.86000000000001</v>
      </c>
    </row>
    <row r="493" spans="1:9" ht="9.9499999999999993" customHeight="1">
      <c r="A493" s="4">
        <v>2673</v>
      </c>
      <c r="B493" s="10">
        <v>500025</v>
      </c>
      <c r="C493" s="11" t="s">
        <v>42</v>
      </c>
      <c r="D493" s="3">
        <v>46161</v>
      </c>
      <c r="E493" s="15" t="s">
        <v>9</v>
      </c>
      <c r="F493" s="16" t="s">
        <v>10</v>
      </c>
      <c r="G493" s="7">
        <v>429715596822</v>
      </c>
      <c r="H493" s="13">
        <v>0</v>
      </c>
      <c r="I493" s="13">
        <v>155.38</v>
      </c>
    </row>
    <row r="494" spans="1:9" ht="9.9499999999999993" customHeight="1">
      <c r="A494" s="4">
        <v>2674</v>
      </c>
      <c r="B494" s="10">
        <v>500025</v>
      </c>
      <c r="C494" s="11" t="s">
        <v>16</v>
      </c>
      <c r="D494" s="3">
        <v>46161</v>
      </c>
      <c r="E494" s="15" t="s">
        <v>9</v>
      </c>
      <c r="F494" s="16" t="s">
        <v>10</v>
      </c>
      <c r="G494" s="7">
        <v>676295038529</v>
      </c>
      <c r="H494" s="13">
        <v>0</v>
      </c>
      <c r="I494" s="13">
        <v>155.38</v>
      </c>
    </row>
    <row r="495" spans="1:9" ht="9.9499999999999993" customHeight="1">
      <c r="A495" s="4">
        <v>2675</v>
      </c>
      <c r="B495" s="10">
        <v>500025</v>
      </c>
      <c r="C495" s="11" t="s">
        <v>16</v>
      </c>
      <c r="D495" s="3">
        <v>46161</v>
      </c>
      <c r="E495" s="15" t="s">
        <v>9</v>
      </c>
      <c r="F495" s="16" t="s">
        <v>10</v>
      </c>
      <c r="G495" s="7">
        <v>676295041684</v>
      </c>
      <c r="H495" s="13">
        <v>0</v>
      </c>
      <c r="I495" s="13">
        <v>84.16</v>
      </c>
    </row>
    <row r="496" spans="1:9" ht="9.9499999999999993" customHeight="1">
      <c r="A496" s="4">
        <v>2676</v>
      </c>
      <c r="B496" s="10">
        <v>500025</v>
      </c>
      <c r="C496" s="11" t="s">
        <v>14</v>
      </c>
      <c r="D496" s="3">
        <v>46161</v>
      </c>
      <c r="E496" s="15" t="s">
        <v>9</v>
      </c>
      <c r="F496" s="16" t="s">
        <v>10</v>
      </c>
      <c r="G496" s="7">
        <v>210092880923</v>
      </c>
      <c r="H496" s="13">
        <v>0</v>
      </c>
      <c r="I496" s="13">
        <v>699.26</v>
      </c>
    </row>
    <row r="497" spans="1:9" ht="9.9499999999999993" customHeight="1">
      <c r="A497" s="4">
        <v>2677</v>
      </c>
      <c r="B497" s="10">
        <v>500025</v>
      </c>
      <c r="C497" s="11" t="s">
        <v>14</v>
      </c>
      <c r="D497" s="3">
        <v>46161</v>
      </c>
      <c r="E497" s="15" t="s">
        <v>9</v>
      </c>
      <c r="F497" s="16" t="s">
        <v>10</v>
      </c>
      <c r="G497" s="7">
        <v>210093128715</v>
      </c>
      <c r="H497" s="13">
        <v>0</v>
      </c>
      <c r="I497" s="13">
        <v>77.7</v>
      </c>
    </row>
    <row r="498" spans="1:9" ht="9.9499999999999993" customHeight="1">
      <c r="A498" s="4">
        <v>2678</v>
      </c>
      <c r="B498" s="10">
        <v>500025</v>
      </c>
      <c r="C498" s="11" t="s">
        <v>42</v>
      </c>
      <c r="D498" s="3">
        <v>46161</v>
      </c>
      <c r="E498" s="15" t="s">
        <v>9</v>
      </c>
      <c r="F498" s="16" t="s">
        <v>10</v>
      </c>
      <c r="G498" s="7">
        <v>429715607299</v>
      </c>
      <c r="H498" s="13">
        <v>0</v>
      </c>
      <c r="I498" s="13">
        <v>155.38</v>
      </c>
    </row>
    <row r="499" spans="1:9" ht="9.9499999999999993" customHeight="1">
      <c r="A499" s="4">
        <v>2679</v>
      </c>
      <c r="B499" s="10">
        <v>500025</v>
      </c>
      <c r="C499" s="11" t="s">
        <v>14</v>
      </c>
      <c r="D499" s="3">
        <v>46162</v>
      </c>
      <c r="E499" s="15" t="s">
        <v>9</v>
      </c>
      <c r="F499" s="16" t="s">
        <v>10</v>
      </c>
      <c r="G499" s="7">
        <v>210094158494</v>
      </c>
      <c r="H499" s="13">
        <v>0</v>
      </c>
      <c r="I499" s="13">
        <v>233.08</v>
      </c>
    </row>
    <row r="500" spans="1:9" ht="9.9499999999999993" customHeight="1">
      <c r="A500" s="4">
        <v>2680</v>
      </c>
      <c r="B500" s="10">
        <v>500025</v>
      </c>
      <c r="C500" s="11" t="s">
        <v>42</v>
      </c>
      <c r="D500" s="3">
        <v>46162</v>
      </c>
      <c r="E500" s="15" t="s">
        <v>9</v>
      </c>
      <c r="F500" s="16" t="s">
        <v>10</v>
      </c>
      <c r="G500" s="7">
        <v>429715616002</v>
      </c>
      <c r="H500" s="13">
        <v>0</v>
      </c>
      <c r="I500" s="13">
        <v>525.61</v>
      </c>
    </row>
    <row r="501" spans="1:9" ht="9.9499999999999993" customHeight="1">
      <c r="A501" s="4">
        <v>2681</v>
      </c>
      <c r="B501" s="10">
        <v>500025</v>
      </c>
      <c r="C501" s="11" t="s">
        <v>14</v>
      </c>
      <c r="D501" s="3">
        <v>46163</v>
      </c>
      <c r="E501" s="15" t="s">
        <v>9</v>
      </c>
      <c r="F501" s="16" t="s">
        <v>10</v>
      </c>
      <c r="G501" s="7">
        <v>210095940930</v>
      </c>
      <c r="H501" s="13">
        <v>0</v>
      </c>
      <c r="I501" s="13">
        <v>953.27</v>
      </c>
    </row>
    <row r="502" spans="1:9" ht="9.9499999999999993" customHeight="1">
      <c r="A502" s="4">
        <v>2682</v>
      </c>
      <c r="B502" s="10">
        <v>500025</v>
      </c>
      <c r="C502" s="11" t="s">
        <v>16</v>
      </c>
      <c r="D502" s="3">
        <v>46163</v>
      </c>
      <c r="E502" s="15" t="s">
        <v>9</v>
      </c>
      <c r="F502" s="16" t="s">
        <v>10</v>
      </c>
      <c r="G502" s="7">
        <v>676295456502</v>
      </c>
      <c r="H502" s="13">
        <v>0</v>
      </c>
      <c r="I502" s="13">
        <v>69.739999999999995</v>
      </c>
    </row>
    <row r="503" spans="1:9" ht="9.9499999999999993" customHeight="1">
      <c r="A503" s="4">
        <v>2683</v>
      </c>
      <c r="B503" s="10">
        <v>500025</v>
      </c>
      <c r="C503" s="11" t="s">
        <v>14</v>
      </c>
      <c r="D503" s="3">
        <v>46164</v>
      </c>
      <c r="E503" s="15" t="s">
        <v>9</v>
      </c>
      <c r="F503" s="16" t="s">
        <v>10</v>
      </c>
      <c r="G503" s="7">
        <v>210098824775</v>
      </c>
      <c r="H503" s="13">
        <v>0</v>
      </c>
      <c r="I503" s="13">
        <v>233.08</v>
      </c>
    </row>
    <row r="504" spans="1:9" ht="9.9499999999999993" customHeight="1">
      <c r="A504" s="4">
        <v>2684</v>
      </c>
      <c r="B504" s="10">
        <v>500025</v>
      </c>
      <c r="C504" s="11" t="s">
        <v>15</v>
      </c>
      <c r="D504" s="3">
        <v>46164</v>
      </c>
      <c r="E504" s="15" t="s">
        <v>9</v>
      </c>
      <c r="F504" s="16" t="s">
        <v>10</v>
      </c>
      <c r="G504" s="7">
        <v>27271708122</v>
      </c>
      <c r="H504" s="13">
        <v>0</v>
      </c>
      <c r="I504" s="13">
        <v>553.21</v>
      </c>
    </row>
    <row r="505" spans="1:9" ht="9.9499999999999993" customHeight="1">
      <c r="A505" s="4">
        <v>2685</v>
      </c>
      <c r="B505" s="10">
        <v>500025</v>
      </c>
      <c r="C505" s="11" t="s">
        <v>15</v>
      </c>
      <c r="D505" s="3">
        <v>46165</v>
      </c>
      <c r="E505" s="15" t="s">
        <v>9</v>
      </c>
      <c r="F505" s="16" t="s">
        <v>10</v>
      </c>
      <c r="G505" s="7">
        <v>27252536596</v>
      </c>
      <c r="H505" s="13">
        <v>0</v>
      </c>
      <c r="I505" s="13">
        <v>477.45</v>
      </c>
    </row>
    <row r="506" spans="1:9" ht="9.9499999999999993" customHeight="1">
      <c r="A506" s="4">
        <v>2686</v>
      </c>
      <c r="B506" s="10">
        <v>500025</v>
      </c>
      <c r="C506" s="11" t="s">
        <v>42</v>
      </c>
      <c r="D506" s="3">
        <v>46165</v>
      </c>
      <c r="E506" s="15" t="s">
        <v>9</v>
      </c>
      <c r="F506" s="16" t="s">
        <v>10</v>
      </c>
      <c r="G506" s="7">
        <v>429715666687</v>
      </c>
      <c r="H506" s="13">
        <v>0</v>
      </c>
      <c r="I506" s="13">
        <v>366.22</v>
      </c>
    </row>
    <row r="507" spans="1:9" ht="9.9499999999999993" customHeight="1">
      <c r="A507" s="4">
        <v>2687</v>
      </c>
      <c r="B507" s="10">
        <v>500025</v>
      </c>
      <c r="C507" s="11" t="s">
        <v>15</v>
      </c>
      <c r="D507" s="3">
        <v>46165</v>
      </c>
      <c r="E507" s="15" t="s">
        <v>9</v>
      </c>
      <c r="F507" s="16" t="s">
        <v>10</v>
      </c>
      <c r="G507" s="7">
        <v>27272743021</v>
      </c>
      <c r="H507" s="13">
        <v>0</v>
      </c>
      <c r="I507" s="13">
        <v>557.03</v>
      </c>
    </row>
    <row r="508" spans="1:9" ht="9.9499999999999993" customHeight="1">
      <c r="A508" s="4">
        <v>2688</v>
      </c>
      <c r="B508" s="10">
        <v>500025</v>
      </c>
      <c r="C508" s="11" t="s">
        <v>14</v>
      </c>
      <c r="D508" s="3">
        <v>46166</v>
      </c>
      <c r="E508" s="15" t="s">
        <v>9</v>
      </c>
      <c r="F508" s="16" t="s">
        <v>10</v>
      </c>
      <c r="G508" s="7">
        <v>210003364481</v>
      </c>
      <c r="H508" s="13">
        <v>0</v>
      </c>
      <c r="I508" s="13">
        <v>954.91</v>
      </c>
    </row>
    <row r="509" spans="1:9" ht="9.9499999999999993" customHeight="1">
      <c r="A509" s="4">
        <v>2689</v>
      </c>
      <c r="B509" s="10">
        <v>500025</v>
      </c>
      <c r="C509" s="11" t="s">
        <v>15</v>
      </c>
      <c r="D509" s="3">
        <v>46166</v>
      </c>
      <c r="E509" s="15" t="s">
        <v>9</v>
      </c>
      <c r="F509" s="16" t="s">
        <v>10</v>
      </c>
      <c r="G509" s="7">
        <v>27253038637</v>
      </c>
      <c r="H509" s="13">
        <v>0</v>
      </c>
      <c r="I509" s="13">
        <v>397.95</v>
      </c>
    </row>
    <row r="510" spans="1:9" ht="9.9499999999999993" customHeight="1">
      <c r="A510" s="4">
        <v>2690</v>
      </c>
      <c r="B510" s="10">
        <v>500025</v>
      </c>
      <c r="C510" s="11" t="s">
        <v>15</v>
      </c>
      <c r="D510" s="3">
        <v>46166</v>
      </c>
      <c r="E510" s="15" t="s">
        <v>9</v>
      </c>
      <c r="F510" s="16" t="s">
        <v>10</v>
      </c>
      <c r="G510" s="7">
        <v>27273571685</v>
      </c>
      <c r="H510" s="13">
        <v>0</v>
      </c>
      <c r="I510" s="13">
        <v>636.61</v>
      </c>
    </row>
    <row r="511" spans="1:9" ht="9.9499999999999993" customHeight="1">
      <c r="A511" s="4">
        <v>2691</v>
      </c>
      <c r="B511" s="10">
        <v>500025</v>
      </c>
      <c r="C511" s="11" t="s">
        <v>14</v>
      </c>
      <c r="D511" s="3">
        <v>46167</v>
      </c>
      <c r="E511" s="15" t="s">
        <v>9</v>
      </c>
      <c r="F511" s="16" t="s">
        <v>10</v>
      </c>
      <c r="G511" s="7">
        <v>210005454000</v>
      </c>
      <c r="H511" s="13">
        <v>0</v>
      </c>
      <c r="I511" s="13">
        <v>1193.6400000000001</v>
      </c>
    </row>
    <row r="512" spans="1:9" ht="9.9499999999999993" customHeight="1">
      <c r="A512" s="4">
        <v>2692</v>
      </c>
      <c r="B512" s="10">
        <v>500025</v>
      </c>
      <c r="C512" s="11" t="s">
        <v>16</v>
      </c>
      <c r="D512" s="3">
        <v>46167</v>
      </c>
      <c r="E512" s="15" t="s">
        <v>9</v>
      </c>
      <c r="F512" s="16" t="s">
        <v>10</v>
      </c>
      <c r="G512" s="7">
        <v>676298960321</v>
      </c>
      <c r="H512" s="13">
        <v>0</v>
      </c>
      <c r="I512" s="13">
        <v>132.62</v>
      </c>
    </row>
    <row r="513" spans="1:9" ht="9.9499999999999993" customHeight="1">
      <c r="A513" s="4">
        <v>2693</v>
      </c>
      <c r="B513" s="10">
        <v>500025</v>
      </c>
      <c r="C513" s="11" t="s">
        <v>42</v>
      </c>
      <c r="D513" s="3">
        <v>46167</v>
      </c>
      <c r="E513" s="15" t="s">
        <v>9</v>
      </c>
      <c r="F513" s="16" t="s">
        <v>10</v>
      </c>
      <c r="G513" s="7">
        <v>429715685325</v>
      </c>
      <c r="H513" s="13">
        <v>0</v>
      </c>
      <c r="I513" s="13">
        <v>156.94999999999999</v>
      </c>
    </row>
    <row r="514" spans="1:9" ht="9.9499999999999993" customHeight="1">
      <c r="A514" s="4">
        <v>2694</v>
      </c>
      <c r="B514" s="10">
        <v>500025</v>
      </c>
      <c r="C514" s="11" t="s">
        <v>15</v>
      </c>
      <c r="D514" s="3">
        <v>46167</v>
      </c>
      <c r="E514" s="15" t="s">
        <v>9</v>
      </c>
      <c r="F514" s="16" t="s">
        <v>10</v>
      </c>
      <c r="G514" s="7">
        <v>27253305767</v>
      </c>
      <c r="H514" s="13">
        <v>0</v>
      </c>
      <c r="I514" s="13">
        <v>1020</v>
      </c>
    </row>
    <row r="515" spans="1:9" ht="9.9499999999999993" customHeight="1">
      <c r="A515" s="4">
        <v>2695</v>
      </c>
      <c r="B515" s="10">
        <v>500025</v>
      </c>
      <c r="C515" s="11" t="s">
        <v>42</v>
      </c>
      <c r="D515" s="3">
        <v>46167</v>
      </c>
      <c r="E515" s="15" t="s">
        <v>9</v>
      </c>
      <c r="F515" s="16" t="s">
        <v>10</v>
      </c>
      <c r="G515" s="7">
        <v>429715687904</v>
      </c>
      <c r="H515" s="13">
        <v>0</v>
      </c>
      <c r="I515" s="13">
        <v>92.3</v>
      </c>
    </row>
    <row r="516" spans="1:9" ht="9.9499999999999993" customHeight="1">
      <c r="A516" s="4">
        <v>2696</v>
      </c>
      <c r="B516" s="10">
        <v>500025</v>
      </c>
      <c r="C516" s="11" t="s">
        <v>14</v>
      </c>
      <c r="D516" s="3">
        <v>46167</v>
      </c>
      <c r="E516" s="15" t="s">
        <v>9</v>
      </c>
      <c r="F516" s="16" t="s">
        <v>10</v>
      </c>
      <c r="G516" s="7">
        <v>210006134926</v>
      </c>
      <c r="H516" s="13">
        <v>0</v>
      </c>
      <c r="I516" s="13">
        <v>875.33</v>
      </c>
    </row>
    <row r="517" spans="1:9" ht="9.9499999999999993" customHeight="1">
      <c r="A517" s="4">
        <v>2697</v>
      </c>
      <c r="B517" s="10">
        <v>500025</v>
      </c>
      <c r="C517" s="11" t="s">
        <v>14</v>
      </c>
      <c r="D517" s="3">
        <v>46167</v>
      </c>
      <c r="E517" s="15" t="s">
        <v>9</v>
      </c>
      <c r="F517" s="16" t="s">
        <v>10</v>
      </c>
      <c r="G517" s="7">
        <v>210006136298</v>
      </c>
      <c r="H517" s="13">
        <v>0</v>
      </c>
      <c r="I517" s="13">
        <v>151.19999999999999</v>
      </c>
    </row>
    <row r="518" spans="1:9" ht="9.9499999999999993" customHeight="1">
      <c r="A518" s="4">
        <v>2698</v>
      </c>
      <c r="B518" s="10">
        <v>500025</v>
      </c>
      <c r="C518" s="11" t="s">
        <v>15</v>
      </c>
      <c r="D518" s="3">
        <v>46167</v>
      </c>
      <c r="E518" s="15" t="s">
        <v>9</v>
      </c>
      <c r="F518" s="16" t="s">
        <v>10</v>
      </c>
      <c r="G518" s="7">
        <v>27274591951</v>
      </c>
      <c r="H518" s="13">
        <v>0</v>
      </c>
      <c r="I518" s="13">
        <v>557.03</v>
      </c>
    </row>
    <row r="519" spans="1:9" ht="9.9499999999999993" customHeight="1">
      <c r="A519" s="4">
        <v>2699</v>
      </c>
      <c r="B519" s="10">
        <v>500025</v>
      </c>
      <c r="C519" s="11" t="s">
        <v>42</v>
      </c>
      <c r="D519" s="3">
        <v>46168</v>
      </c>
      <c r="E519" s="15" t="s">
        <v>9</v>
      </c>
      <c r="F519" s="16" t="s">
        <v>10</v>
      </c>
      <c r="G519" s="7">
        <v>429715690983</v>
      </c>
      <c r="H519" s="13">
        <v>0</v>
      </c>
      <c r="I519" s="13">
        <v>72.98</v>
      </c>
    </row>
    <row r="520" spans="1:9" ht="9.9499999999999993" customHeight="1">
      <c r="A520" s="4">
        <v>2700</v>
      </c>
      <c r="B520" s="10">
        <v>500025</v>
      </c>
      <c r="C520" s="11" t="s">
        <v>14</v>
      </c>
      <c r="D520" s="3">
        <v>46168</v>
      </c>
      <c r="E520" s="15" t="s">
        <v>9</v>
      </c>
      <c r="F520" s="16" t="s">
        <v>10</v>
      </c>
      <c r="G520" s="7">
        <v>210006861790</v>
      </c>
      <c r="H520" s="13">
        <v>0</v>
      </c>
      <c r="I520" s="13">
        <v>240.93</v>
      </c>
    </row>
    <row r="521" spans="1:9" ht="9.9499999999999993" customHeight="1">
      <c r="A521" s="4">
        <v>2701</v>
      </c>
      <c r="B521" s="10">
        <v>500025</v>
      </c>
      <c r="C521" s="11" t="s">
        <v>15</v>
      </c>
      <c r="D521" s="3">
        <v>46168</v>
      </c>
      <c r="E521" s="15" t="s">
        <v>9</v>
      </c>
      <c r="F521" s="16" t="s">
        <v>10</v>
      </c>
      <c r="G521" s="7">
        <v>27253488760</v>
      </c>
      <c r="H521" s="13">
        <v>0</v>
      </c>
      <c r="I521" s="13">
        <v>240.92</v>
      </c>
    </row>
    <row r="522" spans="1:9" ht="9.9499999999999993" customHeight="1">
      <c r="A522" s="4">
        <v>2702</v>
      </c>
      <c r="B522" s="10">
        <v>500025</v>
      </c>
      <c r="C522" s="11" t="s">
        <v>16</v>
      </c>
      <c r="D522" s="3">
        <v>46168</v>
      </c>
      <c r="E522" s="15" t="s">
        <v>9</v>
      </c>
      <c r="F522" s="16" t="s">
        <v>10</v>
      </c>
      <c r="G522" s="7">
        <v>676299137669</v>
      </c>
      <c r="H522" s="13">
        <v>0</v>
      </c>
      <c r="I522" s="13">
        <v>281.07</v>
      </c>
    </row>
    <row r="523" spans="1:9" ht="9.9499999999999993" customHeight="1">
      <c r="A523" s="4">
        <v>2703</v>
      </c>
      <c r="B523" s="10">
        <v>500025</v>
      </c>
      <c r="C523" s="11" t="s">
        <v>14</v>
      </c>
      <c r="D523" s="3">
        <v>46169</v>
      </c>
      <c r="E523" s="15" t="s">
        <v>9</v>
      </c>
      <c r="F523" s="16" t="s">
        <v>10</v>
      </c>
      <c r="G523" s="7">
        <v>210009613643</v>
      </c>
      <c r="H523" s="13">
        <v>0</v>
      </c>
      <c r="I523" s="13">
        <v>251.13</v>
      </c>
    </row>
    <row r="524" spans="1:9" ht="9.9499999999999993" customHeight="1">
      <c r="A524" s="4">
        <v>2704</v>
      </c>
      <c r="B524" s="10">
        <v>500025</v>
      </c>
      <c r="C524" s="11" t="s">
        <v>14</v>
      </c>
      <c r="D524" s="3">
        <v>46169</v>
      </c>
      <c r="E524" s="15" t="s">
        <v>9</v>
      </c>
      <c r="F524" s="16" t="s">
        <v>10</v>
      </c>
      <c r="G524" s="7">
        <v>210010326385</v>
      </c>
      <c r="H524" s="13">
        <v>0</v>
      </c>
      <c r="I524" s="13">
        <v>243.03</v>
      </c>
    </row>
    <row r="525" spans="1:9" ht="9.9499999999999993" customHeight="1">
      <c r="A525" s="4">
        <v>2705</v>
      </c>
      <c r="B525" s="10">
        <v>500025</v>
      </c>
      <c r="C525" s="11" t="s">
        <v>15</v>
      </c>
      <c r="D525" s="3">
        <v>46169</v>
      </c>
      <c r="E525" s="15" t="s">
        <v>9</v>
      </c>
      <c r="F525" s="16" t="s">
        <v>10</v>
      </c>
      <c r="G525" s="7">
        <v>27276413008</v>
      </c>
      <c r="H525" s="13">
        <v>0</v>
      </c>
      <c r="I525" s="13">
        <v>648.04999999999995</v>
      </c>
    </row>
    <row r="526" spans="1:9" ht="9.9499999999999993" customHeight="1">
      <c r="A526" s="4">
        <v>2706</v>
      </c>
      <c r="B526" s="10">
        <v>500025</v>
      </c>
      <c r="C526" s="11" t="s">
        <v>14</v>
      </c>
      <c r="D526" s="3">
        <v>46170</v>
      </c>
      <c r="E526" s="15" t="s">
        <v>9</v>
      </c>
      <c r="F526" s="16" t="s">
        <v>10</v>
      </c>
      <c r="G526" s="7">
        <v>210010938141</v>
      </c>
      <c r="H526" s="13">
        <v>0</v>
      </c>
      <c r="I526" s="13">
        <v>588.15</v>
      </c>
    </row>
    <row r="527" spans="1:9" ht="9.9499999999999993" customHeight="1">
      <c r="A527" s="4">
        <v>2707</v>
      </c>
      <c r="B527" s="10">
        <v>500025</v>
      </c>
      <c r="C527" s="11" t="s">
        <v>42</v>
      </c>
      <c r="D527" s="3">
        <v>46170</v>
      </c>
      <c r="E527" s="15" t="s">
        <v>9</v>
      </c>
      <c r="F527" s="16" t="s">
        <v>10</v>
      </c>
      <c r="G527" s="7">
        <v>429715725406</v>
      </c>
      <c r="H527" s="13">
        <v>0</v>
      </c>
      <c r="I527" s="13">
        <v>163.37</v>
      </c>
    </row>
    <row r="528" spans="1:9" ht="9.9499999999999993" customHeight="1">
      <c r="A528" s="4">
        <v>2708</v>
      </c>
      <c r="B528" s="10">
        <v>500025</v>
      </c>
      <c r="C528" s="11" t="s">
        <v>16</v>
      </c>
      <c r="D528" s="3">
        <v>46170</v>
      </c>
      <c r="E528" s="15" t="s">
        <v>9</v>
      </c>
      <c r="F528" s="16" t="s">
        <v>10</v>
      </c>
      <c r="G528" s="7">
        <v>676299337601</v>
      </c>
      <c r="H528" s="13">
        <v>0</v>
      </c>
      <c r="I528" s="13">
        <v>136.13999999999999</v>
      </c>
    </row>
    <row r="529" spans="1:9" ht="9.9499999999999993" customHeight="1">
      <c r="A529" s="4">
        <v>2709</v>
      </c>
      <c r="B529" s="10">
        <v>500025</v>
      </c>
      <c r="C529" s="11" t="s">
        <v>42</v>
      </c>
      <c r="D529" s="3">
        <v>46170</v>
      </c>
      <c r="E529" s="15" t="s">
        <v>9</v>
      </c>
      <c r="F529" s="16" t="s">
        <v>10</v>
      </c>
      <c r="G529" s="7">
        <v>429715726745</v>
      </c>
      <c r="H529" s="13">
        <v>0</v>
      </c>
      <c r="I529" s="13">
        <v>40.840000000000003</v>
      </c>
    </row>
    <row r="530" spans="1:9" ht="9.9499999999999993" customHeight="1">
      <c r="A530" s="4">
        <v>2710</v>
      </c>
      <c r="B530" s="10">
        <v>500025</v>
      </c>
      <c r="C530" s="11" t="s">
        <v>14</v>
      </c>
      <c r="D530" s="3">
        <v>46170</v>
      </c>
      <c r="E530" s="15" t="s">
        <v>9</v>
      </c>
      <c r="F530" s="16" t="s">
        <v>10</v>
      </c>
      <c r="G530" s="7">
        <v>210012095629</v>
      </c>
      <c r="H530" s="13">
        <v>0</v>
      </c>
      <c r="I530" s="13">
        <v>163.38</v>
      </c>
    </row>
    <row r="531" spans="1:9" ht="9.9499999999999993" customHeight="1">
      <c r="A531" s="4">
        <v>2711</v>
      </c>
      <c r="B531" s="10">
        <v>500025</v>
      </c>
      <c r="C531" s="11" t="s">
        <v>15</v>
      </c>
      <c r="D531" s="3">
        <v>46170</v>
      </c>
      <c r="E531" s="15" t="s">
        <v>9</v>
      </c>
      <c r="F531" s="16" t="s">
        <v>10</v>
      </c>
      <c r="G531" s="7">
        <v>27277285346</v>
      </c>
      <c r="H531" s="13">
        <v>0</v>
      </c>
      <c r="I531" s="13">
        <v>571.80999999999995</v>
      </c>
    </row>
    <row r="532" spans="1:9" ht="9.9499999999999993" customHeight="1">
      <c r="A532" s="4">
        <v>2712</v>
      </c>
      <c r="B532" s="10">
        <v>500025</v>
      </c>
      <c r="C532" s="11" t="s">
        <v>15</v>
      </c>
      <c r="D532" s="3">
        <v>46170</v>
      </c>
      <c r="E532" s="15" t="s">
        <v>9</v>
      </c>
      <c r="F532" s="16" t="s">
        <v>10</v>
      </c>
      <c r="G532" s="7">
        <v>27277285388</v>
      </c>
      <c r="H532" s="13">
        <v>0</v>
      </c>
      <c r="I532" s="13">
        <v>571.80999999999995</v>
      </c>
    </row>
    <row r="533" spans="1:9" ht="9.9499999999999993" customHeight="1">
      <c r="A533" s="4">
        <v>2713</v>
      </c>
      <c r="B533" s="10">
        <v>500025</v>
      </c>
      <c r="C533" s="11" t="s">
        <v>15</v>
      </c>
      <c r="D533" s="3">
        <v>46171</v>
      </c>
      <c r="E533" s="15" t="s">
        <v>9</v>
      </c>
      <c r="F533" s="16" t="s">
        <v>10</v>
      </c>
      <c r="G533" s="7">
        <v>27254424361</v>
      </c>
      <c r="H533" s="13">
        <v>0</v>
      </c>
      <c r="I533" s="13">
        <v>247.23</v>
      </c>
    </row>
    <row r="534" spans="1:9" ht="9.9499999999999993" customHeight="1">
      <c r="A534" s="4">
        <v>2714</v>
      </c>
      <c r="B534" s="10">
        <v>500025</v>
      </c>
      <c r="C534" s="11" t="s">
        <v>14</v>
      </c>
      <c r="D534" s="3">
        <v>46171</v>
      </c>
      <c r="E534" s="15" t="s">
        <v>9</v>
      </c>
      <c r="F534" s="16" t="s">
        <v>10</v>
      </c>
      <c r="G534" s="7">
        <v>210013091554</v>
      </c>
      <c r="H534" s="13">
        <v>0</v>
      </c>
      <c r="I534" s="13">
        <v>329.63</v>
      </c>
    </row>
    <row r="535" spans="1:9" ht="9.9499999999999993" customHeight="1">
      <c r="A535" s="4">
        <v>2715</v>
      </c>
      <c r="B535" s="10">
        <v>500025</v>
      </c>
      <c r="C535" s="11" t="s">
        <v>15</v>
      </c>
      <c r="D535" s="3">
        <v>46171</v>
      </c>
      <c r="E535" s="15" t="s">
        <v>9</v>
      </c>
      <c r="F535" s="16" t="s">
        <v>10</v>
      </c>
      <c r="G535" s="7">
        <v>27299134636</v>
      </c>
      <c r="H535" s="13">
        <v>0</v>
      </c>
      <c r="I535" s="13">
        <v>479.63</v>
      </c>
    </row>
    <row r="536" spans="1:9" ht="9.9499999999999993" customHeight="1">
      <c r="A536" s="4">
        <v>2716</v>
      </c>
      <c r="B536" s="10">
        <v>500025</v>
      </c>
      <c r="C536" s="11" t="s">
        <v>15</v>
      </c>
      <c r="D536" s="3">
        <v>46171</v>
      </c>
      <c r="E536" s="15" t="s">
        <v>9</v>
      </c>
      <c r="F536" s="16" t="s">
        <v>10</v>
      </c>
      <c r="G536" s="7">
        <v>27256027869</v>
      </c>
      <c r="H536" s="13">
        <v>0</v>
      </c>
      <c r="I536" s="13">
        <v>330</v>
      </c>
    </row>
    <row r="537" spans="1:9" ht="9.9499999999999993" customHeight="1">
      <c r="A537" s="4">
        <v>2717</v>
      </c>
      <c r="B537" s="10">
        <v>500025</v>
      </c>
      <c r="C537" s="11" t="s">
        <v>42</v>
      </c>
      <c r="D537" s="3">
        <v>46171</v>
      </c>
      <c r="E537" s="15" t="s">
        <v>9</v>
      </c>
      <c r="F537" s="16" t="s">
        <v>10</v>
      </c>
      <c r="G537" s="7">
        <v>429715759974</v>
      </c>
      <c r="H537" s="13">
        <v>0</v>
      </c>
      <c r="I537" s="13">
        <v>420</v>
      </c>
    </row>
    <row r="538" spans="1:9" ht="9.9499999999999993" customHeight="1">
      <c r="A538" s="4">
        <v>2718</v>
      </c>
      <c r="B538" s="10">
        <v>500025</v>
      </c>
      <c r="C538" s="11" t="s">
        <v>15</v>
      </c>
      <c r="D538" s="3">
        <v>46171</v>
      </c>
      <c r="E538" s="15" t="s">
        <v>9</v>
      </c>
      <c r="F538" s="16" t="s">
        <v>10</v>
      </c>
      <c r="G538" s="7">
        <v>27258027877</v>
      </c>
      <c r="H538" s="13">
        <v>0</v>
      </c>
      <c r="I538" s="13">
        <v>165</v>
      </c>
    </row>
    <row r="539" spans="1:9" ht="9.9499999999999993" customHeight="1">
      <c r="A539" s="4">
        <v>2719</v>
      </c>
      <c r="B539" s="10">
        <v>500025</v>
      </c>
      <c r="C539" s="11" t="s">
        <v>14</v>
      </c>
      <c r="D539" s="3">
        <v>46171</v>
      </c>
      <c r="E539" s="15" t="s">
        <v>9</v>
      </c>
      <c r="F539" s="16" t="s">
        <v>10</v>
      </c>
      <c r="G539" s="7">
        <v>210014846842</v>
      </c>
      <c r="H539" s="13">
        <v>0</v>
      </c>
      <c r="I539" s="13">
        <v>988.87</v>
      </c>
    </row>
    <row r="540" spans="1:9" ht="9.9499999999999993" customHeight="1">
      <c r="A540" s="4">
        <v>2720</v>
      </c>
      <c r="B540" s="10">
        <v>500025</v>
      </c>
      <c r="C540" s="11" t="s">
        <v>15</v>
      </c>
      <c r="D540" s="3">
        <v>46171</v>
      </c>
      <c r="E540" s="15" t="s">
        <v>9</v>
      </c>
      <c r="F540" s="16" t="s">
        <v>10</v>
      </c>
      <c r="G540" s="7">
        <v>27278754556</v>
      </c>
      <c r="H540" s="13">
        <v>0</v>
      </c>
      <c r="I540" s="13">
        <v>824.06</v>
      </c>
    </row>
    <row r="541" spans="1:9" ht="9.9499999999999993" customHeight="1">
      <c r="A541" s="4">
        <v>2721</v>
      </c>
      <c r="B541" s="10">
        <v>500025</v>
      </c>
      <c r="C541" s="11" t="s">
        <v>15</v>
      </c>
      <c r="D541" s="3">
        <v>46172</v>
      </c>
      <c r="E541" s="15" t="s">
        <v>9</v>
      </c>
      <c r="F541" s="16" t="s">
        <v>10</v>
      </c>
      <c r="G541" s="7">
        <v>27202055148</v>
      </c>
      <c r="H541" s="13">
        <v>0</v>
      </c>
      <c r="I541" s="13">
        <v>1650</v>
      </c>
    </row>
    <row r="542" spans="1:9" ht="9.9499999999999993" customHeight="1">
      <c r="A542" s="4">
        <v>2722</v>
      </c>
      <c r="B542" s="10">
        <v>500025</v>
      </c>
      <c r="C542" s="11" t="s">
        <v>14</v>
      </c>
      <c r="D542" s="3">
        <v>46172</v>
      </c>
      <c r="E542" s="15" t="s">
        <v>9</v>
      </c>
      <c r="F542" s="16" t="s">
        <v>10</v>
      </c>
      <c r="G542" s="7">
        <v>210016553185</v>
      </c>
      <c r="H542" s="13">
        <v>0</v>
      </c>
      <c r="I542" s="13">
        <v>576.86</v>
      </c>
    </row>
    <row r="543" spans="1:9" ht="9.9499999999999993" customHeight="1">
      <c r="A543" s="4">
        <v>2723</v>
      </c>
      <c r="B543" s="10">
        <v>500025</v>
      </c>
      <c r="C543" s="11" t="s">
        <v>15</v>
      </c>
      <c r="D543" s="3">
        <v>46172</v>
      </c>
      <c r="E543" s="15" t="s">
        <v>9</v>
      </c>
      <c r="F543" s="16" t="s">
        <v>10</v>
      </c>
      <c r="G543" s="7">
        <v>27259027892</v>
      </c>
      <c r="H543" s="13">
        <v>0</v>
      </c>
      <c r="I543" s="13">
        <v>166.5</v>
      </c>
    </row>
    <row r="544" spans="1:9" ht="9.9499999999999993" customHeight="1">
      <c r="A544" s="4">
        <v>2724</v>
      </c>
      <c r="B544" s="10">
        <v>500025</v>
      </c>
      <c r="C544" s="11" t="s">
        <v>15</v>
      </c>
      <c r="D544" s="3">
        <v>46172</v>
      </c>
      <c r="E544" s="15" t="s">
        <v>9</v>
      </c>
      <c r="F544" s="16" t="s">
        <v>10</v>
      </c>
      <c r="G544" s="7">
        <v>27205841588</v>
      </c>
      <c r="H544" s="13">
        <v>0</v>
      </c>
      <c r="I544" s="13">
        <v>1022.47</v>
      </c>
    </row>
    <row r="545" spans="1:9" ht="9.9499999999999993" customHeight="1">
      <c r="A545" s="4">
        <v>2725</v>
      </c>
      <c r="B545" s="10">
        <v>500025</v>
      </c>
      <c r="C545" s="11" t="s">
        <v>15</v>
      </c>
      <c r="D545" s="3">
        <v>46172</v>
      </c>
      <c r="E545" s="15" t="s">
        <v>9</v>
      </c>
      <c r="F545" s="16" t="s">
        <v>10</v>
      </c>
      <c r="G545" s="7">
        <v>27280164440</v>
      </c>
      <c r="H545" s="13">
        <v>0</v>
      </c>
      <c r="I545" s="13">
        <v>665.31</v>
      </c>
    </row>
    <row r="546" spans="1:9" ht="9.9499999999999993" customHeight="1">
      <c r="A546" s="4">
        <v>2726</v>
      </c>
      <c r="B546" s="10">
        <v>500025</v>
      </c>
      <c r="C546" s="11" t="s">
        <v>14</v>
      </c>
      <c r="D546" s="3">
        <v>46173</v>
      </c>
      <c r="E546" s="15" t="s">
        <v>9</v>
      </c>
      <c r="F546" s="16" t="s">
        <v>10</v>
      </c>
      <c r="G546" s="7">
        <v>210018905127</v>
      </c>
      <c r="H546" s="13">
        <v>0</v>
      </c>
      <c r="I546" s="13">
        <v>964.7</v>
      </c>
    </row>
    <row r="547" spans="1:9" ht="9.9499999999999993" customHeight="1">
      <c r="A547" s="4">
        <v>2727</v>
      </c>
      <c r="B547" s="10">
        <v>500025</v>
      </c>
      <c r="C547" s="11" t="s">
        <v>15</v>
      </c>
      <c r="D547" s="3">
        <v>46173</v>
      </c>
      <c r="E547" s="15" t="s">
        <v>9</v>
      </c>
      <c r="F547" s="16" t="s">
        <v>10</v>
      </c>
      <c r="G547" s="7">
        <v>27257027908</v>
      </c>
      <c r="H547" s="13">
        <v>0</v>
      </c>
      <c r="I547" s="13">
        <v>333</v>
      </c>
    </row>
    <row r="548" spans="1:9" ht="9.9499999999999993" customHeight="1">
      <c r="A548" s="4">
        <v>2728</v>
      </c>
      <c r="B548" s="10">
        <v>500025</v>
      </c>
      <c r="C548" s="11" t="s">
        <v>15</v>
      </c>
      <c r="D548" s="3">
        <v>46173</v>
      </c>
      <c r="E548" s="15" t="s">
        <v>9</v>
      </c>
      <c r="F548" s="16" t="s">
        <v>10</v>
      </c>
      <c r="G548" s="7">
        <v>27218367805</v>
      </c>
      <c r="H548" s="13">
        <v>0</v>
      </c>
      <c r="I548" s="13">
        <v>498.99</v>
      </c>
    </row>
    <row r="549" spans="1:9" ht="9.9499999999999993" customHeight="1">
      <c r="A549" s="4">
        <v>2729</v>
      </c>
      <c r="B549" s="10">
        <v>500025</v>
      </c>
      <c r="C549" s="11" t="s">
        <v>15</v>
      </c>
      <c r="D549" s="3">
        <v>46173</v>
      </c>
      <c r="E549" s="15" t="s">
        <v>9</v>
      </c>
      <c r="F549" s="16" t="s">
        <v>10</v>
      </c>
      <c r="G549" s="7">
        <v>27200027917</v>
      </c>
      <c r="H549" s="13">
        <v>0</v>
      </c>
      <c r="I549" s="13">
        <v>166.5</v>
      </c>
    </row>
    <row r="550" spans="1:9" ht="9.9499999999999993" customHeight="1">
      <c r="A550" s="4">
        <v>2730</v>
      </c>
      <c r="B550" s="10">
        <v>500025</v>
      </c>
      <c r="C550" s="11" t="s">
        <v>15</v>
      </c>
      <c r="D550" s="3">
        <v>46173</v>
      </c>
      <c r="E550" s="15" t="s">
        <v>9</v>
      </c>
      <c r="F550" s="16" t="s">
        <v>10</v>
      </c>
      <c r="G550" s="7">
        <v>27281187674</v>
      </c>
      <c r="H550" s="13">
        <v>0</v>
      </c>
      <c r="I550" s="13">
        <v>997.97</v>
      </c>
    </row>
    <row r="551" spans="1:9" ht="9.9499999999999993" customHeight="1">
      <c r="A551" s="4">
        <v>2731</v>
      </c>
      <c r="B551" s="10">
        <v>500025</v>
      </c>
      <c r="C551" s="11" t="s">
        <v>74</v>
      </c>
      <c r="D551" s="3">
        <v>46173</v>
      </c>
      <c r="E551" s="15" t="s">
        <v>68</v>
      </c>
      <c r="F551" s="16" t="s">
        <v>69</v>
      </c>
      <c r="G551" s="7" t="s">
        <v>75</v>
      </c>
      <c r="H551" s="13">
        <f>SUM(I427:I550)</f>
        <v>50963.920000000006</v>
      </c>
      <c r="I551" s="13">
        <v>0</v>
      </c>
    </row>
  </sheetData>
  <autoFilter ref="A1:I551" xr:uid="{D7B1BDE7-FC9D-4588-A8E9-3AF895CC5E04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2026-04-22T18:31:45Z</dcterms:created>
  <dcterms:modified xsi:type="dcterms:W3CDTF">2026-06-21T02:02:35Z</dcterms:modified>
</cp:coreProperties>
</file>