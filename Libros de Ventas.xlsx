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 Rodriguez\Desktop\Software_KD\"/>
    </mc:Choice>
  </mc:AlternateContent>
  <xr:revisionPtr revIDLastSave="0" documentId="13_ncr:1_{31D69DDF-C752-4439-87DD-CBF2D78CFA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2" l="1"/>
  <c r="M5" i="2" s="1"/>
  <c r="Q6" i="2"/>
  <c r="M6" i="2" s="1"/>
  <c r="Q7" i="2"/>
  <c r="M7" i="2" s="1"/>
  <c r="Q8" i="2"/>
  <c r="M8" i="2" s="1"/>
  <c r="Q9" i="2"/>
  <c r="M9" i="2" s="1"/>
  <c r="Q10" i="2"/>
  <c r="M10" i="2" s="1"/>
  <c r="Q11" i="2"/>
  <c r="M11" i="2" s="1"/>
  <c r="Q12" i="2"/>
  <c r="M12" i="2" s="1"/>
  <c r="Q13" i="2"/>
  <c r="M13" i="2" s="1"/>
  <c r="Q14" i="2"/>
  <c r="M14" i="2" s="1"/>
  <c r="Q15" i="2"/>
  <c r="M15" i="2" s="1"/>
  <c r="Q16" i="2"/>
  <c r="M16" i="2" s="1"/>
  <c r="Q17" i="2"/>
  <c r="M17" i="2" s="1"/>
  <c r="Q18" i="2"/>
  <c r="M18" i="2" s="1"/>
  <c r="Q19" i="2"/>
  <c r="M19" i="2" s="1"/>
  <c r="Q20" i="2"/>
  <c r="M20" i="2" s="1"/>
  <c r="Q21" i="2"/>
  <c r="M21" i="2" s="1"/>
  <c r="Q22" i="2"/>
  <c r="M22" i="2" s="1"/>
  <c r="Q23" i="2"/>
  <c r="M23" i="2" s="1"/>
  <c r="Q24" i="2"/>
  <c r="M24" i="2" s="1"/>
  <c r="Q25" i="2"/>
  <c r="M25" i="2" s="1"/>
  <c r="Q4" i="2"/>
  <c r="M4" i="2" s="1"/>
  <c r="Q3" i="2"/>
  <c r="M3" i="2"/>
  <c r="Q2" i="2" l="1"/>
  <c r="M2" i="2" s="1"/>
</calcChain>
</file>

<file path=xl/sharedStrings.xml><?xml version="1.0" encoding="utf-8"?>
<sst xmlns="http://schemas.openxmlformats.org/spreadsheetml/2006/main" count="65" uniqueCount="19">
  <si>
    <t>Fecha de Factura</t>
  </si>
  <si>
    <t>Nombre y Apellido o Razón Social</t>
  </si>
  <si>
    <t>R.I.F.</t>
  </si>
  <si>
    <t>Número de Factura</t>
  </si>
  <si>
    <t>Num. Control de Factura</t>
  </si>
  <si>
    <t>Nro de Máquina</t>
  </si>
  <si>
    <t>Reporte Z</t>
  </si>
  <si>
    <t>Nro Serie Factura</t>
  </si>
  <si>
    <t>Nro. Última Factura</t>
  </si>
  <si>
    <t>Número Nota Débito</t>
  </si>
  <si>
    <t>Número de Nota Crédito</t>
  </si>
  <si>
    <t>Número de Factura Afectada</t>
  </si>
  <si>
    <t>Total Ventas Incluyendo el IVA</t>
  </si>
  <si>
    <t>Ventas Exentas</t>
  </si>
  <si>
    <t>Base Imponible</t>
  </si>
  <si>
    <t>% Alícuota</t>
  </si>
  <si>
    <t>Débito Fiscal</t>
  </si>
  <si>
    <t>V149899452</t>
  </si>
  <si>
    <t>CARLOS JOSE RODRIGUEZ COLMENARES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</si>
</sst>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3" borderId="1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A44-FB61-4C94-AC7A-1B1FBEBC36DE}">
  <dimension ref="A1:Q25"/>
  <sheetViews>
    <sheetView tabSelected="1" zoomScale="77" zoomScaleNormal="77" workbookViewId="0">
      <selection activeCell="C2" sqref="C2:C25"/>
    </sheetView>
  </sheetViews>
  <sheetFormatPr baseColWidth="10" defaultColWidth="9.140625" defaultRowHeight="11.25" x14ac:dyDescent="0.2"/>
  <cols>
    <col min="1" max="1" width="12" style="1" customWidth="1"/>
    <col min="2" max="2" width="35" style="1" customWidth="1"/>
    <col min="3" max="3" width="15" style="1" customWidth="1"/>
    <col min="4" max="6" width="12" style="1" customWidth="1"/>
    <col min="7" max="9" width="10" style="1" customWidth="1"/>
    <col min="10" max="11" width="12" style="1" customWidth="1"/>
    <col min="12" max="12" width="15" style="1" customWidth="1"/>
    <col min="13" max="13" width="18" style="1" customWidth="1"/>
    <col min="14" max="15" width="15" style="1" customWidth="1"/>
    <col min="16" max="16" width="10" style="1" customWidth="1"/>
    <col min="17" max="17" width="15" style="1" customWidth="1"/>
    <col min="18" max="16384" width="9.140625" style="1"/>
  </cols>
  <sheetData>
    <row r="1" spans="1:17" ht="22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6" customFormat="1" x14ac:dyDescent="0.2">
      <c r="A2" s="3">
        <v>46296</v>
      </c>
      <c r="B2" s="4" t="s">
        <v>18</v>
      </c>
      <c r="C2" s="4" t="s">
        <v>17</v>
      </c>
      <c r="D2" s="7">
        <v>1</v>
      </c>
      <c r="E2" s="7">
        <v>1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5">
        <f>N2+O2+Q2</f>
        <v>42400</v>
      </c>
      <c r="N2" s="5">
        <v>25000</v>
      </c>
      <c r="O2" s="5">
        <v>15000</v>
      </c>
      <c r="P2" s="8">
        <v>16</v>
      </c>
      <c r="Q2" s="5">
        <f>O2*(P2/100)</f>
        <v>2400</v>
      </c>
    </row>
    <row r="3" spans="1:17" s="6" customFormat="1" x14ac:dyDescent="0.2">
      <c r="A3" s="3">
        <v>46297</v>
      </c>
      <c r="B3" s="4" t="s">
        <v>18</v>
      </c>
      <c r="C3" s="4" t="s">
        <v>17</v>
      </c>
      <c r="D3" s="7">
        <v>2</v>
      </c>
      <c r="E3" s="7">
        <v>2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5">
        <f>N3+O3+Q3</f>
        <v>42400</v>
      </c>
      <c r="N3" s="5">
        <v>25000</v>
      </c>
      <c r="O3" s="5">
        <v>15000</v>
      </c>
      <c r="P3" s="8">
        <v>16</v>
      </c>
      <c r="Q3" s="5">
        <f>O3*(P3/100)</f>
        <v>2400</v>
      </c>
    </row>
    <row r="4" spans="1:17" s="6" customFormat="1" x14ac:dyDescent="0.2">
      <c r="A4" s="3">
        <v>46298</v>
      </c>
      <c r="B4" s="4" t="s">
        <v>18</v>
      </c>
      <c r="C4" s="4" t="s">
        <v>17</v>
      </c>
      <c r="D4" s="7">
        <v>3</v>
      </c>
      <c r="E4" s="7">
        <v>3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5">
        <f>N4+O4+Q4</f>
        <v>42400</v>
      </c>
      <c r="N4" s="5">
        <v>25000</v>
      </c>
      <c r="O4" s="5">
        <v>15000</v>
      </c>
      <c r="P4" s="8">
        <v>16</v>
      </c>
      <c r="Q4" s="5">
        <f>O4*(P4/100)</f>
        <v>2400</v>
      </c>
    </row>
    <row r="5" spans="1:17" x14ac:dyDescent="0.2">
      <c r="A5" s="3">
        <v>46299</v>
      </c>
      <c r="B5" s="4" t="s">
        <v>18</v>
      </c>
      <c r="C5" s="4" t="s">
        <v>17</v>
      </c>
      <c r="D5" s="7">
        <v>4</v>
      </c>
      <c r="E5" s="7">
        <v>4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5">
        <f t="shared" ref="M5:M25" si="0">N5+O5+Q5</f>
        <v>42400</v>
      </c>
      <c r="N5" s="5">
        <v>25000</v>
      </c>
      <c r="O5" s="5">
        <v>15000</v>
      </c>
      <c r="P5" s="8">
        <v>16</v>
      </c>
      <c r="Q5" s="5">
        <f t="shared" ref="Q5:Q25" si="1">O5*(P5/100)</f>
        <v>2400</v>
      </c>
    </row>
    <row r="6" spans="1:17" x14ac:dyDescent="0.2">
      <c r="A6" s="3">
        <v>46300</v>
      </c>
      <c r="B6" s="4" t="s">
        <v>18</v>
      </c>
      <c r="C6" s="4" t="s">
        <v>17</v>
      </c>
      <c r="D6" s="7">
        <v>5</v>
      </c>
      <c r="E6" s="7">
        <v>5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5">
        <f t="shared" si="0"/>
        <v>42400</v>
      </c>
      <c r="N6" s="5">
        <v>25000</v>
      </c>
      <c r="O6" s="5">
        <v>15000</v>
      </c>
      <c r="P6" s="8">
        <v>16</v>
      </c>
      <c r="Q6" s="5">
        <f t="shared" si="1"/>
        <v>2400</v>
      </c>
    </row>
    <row r="7" spans="1:17" x14ac:dyDescent="0.2">
      <c r="A7" s="3">
        <v>46301</v>
      </c>
      <c r="B7" s="4" t="s">
        <v>18</v>
      </c>
      <c r="C7" s="4" t="s">
        <v>17</v>
      </c>
      <c r="D7" s="7">
        <v>6</v>
      </c>
      <c r="E7" s="7">
        <v>6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5">
        <f t="shared" si="0"/>
        <v>42400</v>
      </c>
      <c r="N7" s="5">
        <v>25000</v>
      </c>
      <c r="O7" s="5">
        <v>15000</v>
      </c>
      <c r="P7" s="8">
        <v>16</v>
      </c>
      <c r="Q7" s="5">
        <f t="shared" si="1"/>
        <v>2400</v>
      </c>
    </row>
    <row r="8" spans="1:17" x14ac:dyDescent="0.2">
      <c r="A8" s="3">
        <v>46302</v>
      </c>
      <c r="B8" s="4" t="s">
        <v>18</v>
      </c>
      <c r="C8" s="4" t="s">
        <v>17</v>
      </c>
      <c r="D8" s="7">
        <v>7</v>
      </c>
      <c r="E8" s="7">
        <v>7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5">
        <f t="shared" si="0"/>
        <v>42400</v>
      </c>
      <c r="N8" s="5">
        <v>25000</v>
      </c>
      <c r="O8" s="5">
        <v>15000</v>
      </c>
      <c r="P8" s="8">
        <v>16</v>
      </c>
      <c r="Q8" s="5">
        <f t="shared" si="1"/>
        <v>2400</v>
      </c>
    </row>
    <row r="9" spans="1:17" x14ac:dyDescent="0.2">
      <c r="A9" s="3">
        <v>46303</v>
      </c>
      <c r="B9" s="4" t="s">
        <v>18</v>
      </c>
      <c r="C9" s="4" t="s">
        <v>17</v>
      </c>
      <c r="D9" s="7">
        <v>8</v>
      </c>
      <c r="E9" s="7">
        <v>8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5">
        <f t="shared" si="0"/>
        <v>42400</v>
      </c>
      <c r="N9" s="5">
        <v>25000</v>
      </c>
      <c r="O9" s="5">
        <v>15000</v>
      </c>
      <c r="P9" s="8">
        <v>16</v>
      </c>
      <c r="Q9" s="5">
        <f t="shared" si="1"/>
        <v>2400</v>
      </c>
    </row>
    <row r="10" spans="1:17" x14ac:dyDescent="0.2">
      <c r="A10" s="3">
        <v>46304</v>
      </c>
      <c r="B10" s="4" t="s">
        <v>18</v>
      </c>
      <c r="C10" s="4" t="s">
        <v>17</v>
      </c>
      <c r="D10" s="7">
        <v>9</v>
      </c>
      <c r="E10" s="7">
        <v>9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5">
        <f t="shared" si="0"/>
        <v>42400</v>
      </c>
      <c r="N10" s="5">
        <v>25000</v>
      </c>
      <c r="O10" s="5">
        <v>15000</v>
      </c>
      <c r="P10" s="8">
        <v>16</v>
      </c>
      <c r="Q10" s="5">
        <f t="shared" si="1"/>
        <v>2400</v>
      </c>
    </row>
    <row r="11" spans="1:17" x14ac:dyDescent="0.2">
      <c r="A11" s="3">
        <v>46305</v>
      </c>
      <c r="B11" s="4" t="s">
        <v>18</v>
      </c>
      <c r="C11" s="4" t="s">
        <v>17</v>
      </c>
      <c r="D11" s="7">
        <v>10</v>
      </c>
      <c r="E11" s="7">
        <v>10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5">
        <f t="shared" si="0"/>
        <v>42400</v>
      </c>
      <c r="N11" s="5">
        <v>25000</v>
      </c>
      <c r="O11" s="5">
        <v>15000</v>
      </c>
      <c r="P11" s="8">
        <v>16</v>
      </c>
      <c r="Q11" s="5">
        <f t="shared" si="1"/>
        <v>2400</v>
      </c>
    </row>
    <row r="12" spans="1:17" x14ac:dyDescent="0.2">
      <c r="A12" s="3">
        <v>46306</v>
      </c>
      <c r="B12" s="4" t="s">
        <v>18</v>
      </c>
      <c r="C12" s="4" t="s">
        <v>17</v>
      </c>
      <c r="D12" s="7">
        <v>11</v>
      </c>
      <c r="E12" s="7">
        <v>11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5">
        <f t="shared" si="0"/>
        <v>42400</v>
      </c>
      <c r="N12" s="5">
        <v>25000</v>
      </c>
      <c r="O12" s="5">
        <v>15000</v>
      </c>
      <c r="P12" s="8">
        <v>16</v>
      </c>
      <c r="Q12" s="5">
        <f t="shared" si="1"/>
        <v>2400</v>
      </c>
    </row>
    <row r="13" spans="1:17" x14ac:dyDescent="0.2">
      <c r="A13" s="3">
        <v>46307</v>
      </c>
      <c r="B13" s="4" t="s">
        <v>18</v>
      </c>
      <c r="C13" s="4" t="s">
        <v>17</v>
      </c>
      <c r="D13" s="7">
        <v>12</v>
      </c>
      <c r="E13" s="7">
        <v>12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5">
        <f t="shared" si="0"/>
        <v>42400</v>
      </c>
      <c r="N13" s="5">
        <v>25000</v>
      </c>
      <c r="O13" s="5">
        <v>15000</v>
      </c>
      <c r="P13" s="8">
        <v>16</v>
      </c>
      <c r="Q13" s="5">
        <f t="shared" si="1"/>
        <v>2400</v>
      </c>
    </row>
    <row r="14" spans="1:17" x14ac:dyDescent="0.2">
      <c r="A14" s="3">
        <v>46308</v>
      </c>
      <c r="B14" s="4" t="s">
        <v>18</v>
      </c>
      <c r="C14" s="4" t="s">
        <v>17</v>
      </c>
      <c r="D14" s="7">
        <v>13</v>
      </c>
      <c r="E14" s="7">
        <v>13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5">
        <f t="shared" si="0"/>
        <v>42400</v>
      </c>
      <c r="N14" s="5">
        <v>25000</v>
      </c>
      <c r="O14" s="5">
        <v>15000</v>
      </c>
      <c r="P14" s="8">
        <v>16</v>
      </c>
      <c r="Q14" s="5">
        <f t="shared" si="1"/>
        <v>2400</v>
      </c>
    </row>
    <row r="15" spans="1:17" x14ac:dyDescent="0.2">
      <c r="A15" s="3">
        <v>46309</v>
      </c>
      <c r="B15" s="4" t="s">
        <v>18</v>
      </c>
      <c r="C15" s="4" t="s">
        <v>17</v>
      </c>
      <c r="D15" s="7">
        <v>14</v>
      </c>
      <c r="E15" s="7">
        <v>14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5">
        <f t="shared" si="0"/>
        <v>42400</v>
      </c>
      <c r="N15" s="5">
        <v>25000</v>
      </c>
      <c r="O15" s="5">
        <v>15000</v>
      </c>
      <c r="P15" s="8">
        <v>16</v>
      </c>
      <c r="Q15" s="5">
        <f t="shared" si="1"/>
        <v>2400</v>
      </c>
    </row>
    <row r="16" spans="1:17" x14ac:dyDescent="0.2">
      <c r="A16" s="3">
        <v>46310</v>
      </c>
      <c r="B16" s="4" t="s">
        <v>18</v>
      </c>
      <c r="C16" s="4" t="s">
        <v>17</v>
      </c>
      <c r="D16" s="7">
        <v>15</v>
      </c>
      <c r="E16" s="7">
        <v>15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5">
        <f t="shared" si="0"/>
        <v>42400</v>
      </c>
      <c r="N16" s="5">
        <v>25000</v>
      </c>
      <c r="O16" s="5">
        <v>15000</v>
      </c>
      <c r="P16" s="8">
        <v>16</v>
      </c>
      <c r="Q16" s="5">
        <f t="shared" si="1"/>
        <v>2400</v>
      </c>
    </row>
    <row r="17" spans="1:17" x14ac:dyDescent="0.2">
      <c r="A17" s="3">
        <v>46311</v>
      </c>
      <c r="B17" s="4" t="s">
        <v>18</v>
      </c>
      <c r="C17" s="4" t="s">
        <v>17</v>
      </c>
      <c r="D17" s="7">
        <v>16</v>
      </c>
      <c r="E17" s="7">
        <v>16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5">
        <f t="shared" si="0"/>
        <v>42400</v>
      </c>
      <c r="N17" s="5">
        <v>25000</v>
      </c>
      <c r="O17" s="5">
        <v>15000</v>
      </c>
      <c r="P17" s="8">
        <v>16</v>
      </c>
      <c r="Q17" s="5">
        <f t="shared" si="1"/>
        <v>2400</v>
      </c>
    </row>
    <row r="18" spans="1:17" x14ac:dyDescent="0.2">
      <c r="A18" s="3">
        <v>46312</v>
      </c>
      <c r="B18" s="4" t="s">
        <v>18</v>
      </c>
      <c r="C18" s="4" t="s">
        <v>17</v>
      </c>
      <c r="D18" s="7">
        <v>17</v>
      </c>
      <c r="E18" s="7">
        <v>17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5">
        <f t="shared" si="0"/>
        <v>42400</v>
      </c>
      <c r="N18" s="5">
        <v>25000</v>
      </c>
      <c r="O18" s="5">
        <v>15000</v>
      </c>
      <c r="P18" s="8">
        <v>16</v>
      </c>
      <c r="Q18" s="5">
        <f t="shared" si="1"/>
        <v>2400</v>
      </c>
    </row>
    <row r="19" spans="1:17" x14ac:dyDescent="0.2">
      <c r="A19" s="3">
        <v>46313</v>
      </c>
      <c r="B19" s="4" t="s">
        <v>18</v>
      </c>
      <c r="C19" s="4" t="s">
        <v>17</v>
      </c>
      <c r="D19" s="7">
        <v>18</v>
      </c>
      <c r="E19" s="7">
        <v>18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5">
        <f t="shared" si="0"/>
        <v>42400</v>
      </c>
      <c r="N19" s="5">
        <v>25000</v>
      </c>
      <c r="O19" s="5">
        <v>15000</v>
      </c>
      <c r="P19" s="8">
        <v>16</v>
      </c>
      <c r="Q19" s="5">
        <f t="shared" si="1"/>
        <v>2400</v>
      </c>
    </row>
    <row r="20" spans="1:17" x14ac:dyDescent="0.2">
      <c r="A20" s="3">
        <v>46314</v>
      </c>
      <c r="B20" s="4" t="s">
        <v>18</v>
      </c>
      <c r="C20" s="4" t="s">
        <v>17</v>
      </c>
      <c r="D20" s="7">
        <v>19</v>
      </c>
      <c r="E20" s="7">
        <v>19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5">
        <f t="shared" si="0"/>
        <v>42400</v>
      </c>
      <c r="N20" s="5">
        <v>25000</v>
      </c>
      <c r="O20" s="5">
        <v>15000</v>
      </c>
      <c r="P20" s="8">
        <v>16</v>
      </c>
      <c r="Q20" s="5">
        <f t="shared" si="1"/>
        <v>2400</v>
      </c>
    </row>
    <row r="21" spans="1:17" x14ac:dyDescent="0.2">
      <c r="A21" s="3">
        <v>46315</v>
      </c>
      <c r="B21" s="4" t="s">
        <v>18</v>
      </c>
      <c r="C21" s="4" t="s">
        <v>17</v>
      </c>
      <c r="D21" s="7">
        <v>20</v>
      </c>
      <c r="E21" s="7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5">
        <f t="shared" si="0"/>
        <v>42400</v>
      </c>
      <c r="N21" s="5">
        <v>25000</v>
      </c>
      <c r="O21" s="5">
        <v>15000</v>
      </c>
      <c r="P21" s="8">
        <v>16</v>
      </c>
      <c r="Q21" s="5">
        <f t="shared" si="1"/>
        <v>2400</v>
      </c>
    </row>
    <row r="22" spans="1:17" x14ac:dyDescent="0.2">
      <c r="A22" s="3">
        <v>46316</v>
      </c>
      <c r="B22" s="4" t="s">
        <v>18</v>
      </c>
      <c r="C22" s="4" t="s">
        <v>17</v>
      </c>
      <c r="D22" s="7">
        <v>21</v>
      </c>
      <c r="E22" s="7">
        <v>21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5">
        <f t="shared" si="0"/>
        <v>42400</v>
      </c>
      <c r="N22" s="5">
        <v>25000</v>
      </c>
      <c r="O22" s="5">
        <v>15000</v>
      </c>
      <c r="P22" s="8">
        <v>16</v>
      </c>
      <c r="Q22" s="5">
        <f t="shared" si="1"/>
        <v>2400</v>
      </c>
    </row>
    <row r="23" spans="1:17" x14ac:dyDescent="0.2">
      <c r="A23" s="3">
        <v>46317</v>
      </c>
      <c r="B23" s="4" t="s">
        <v>18</v>
      </c>
      <c r="C23" s="4" t="s">
        <v>17</v>
      </c>
      <c r="D23" s="7">
        <v>22</v>
      </c>
      <c r="E23" s="7">
        <v>22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5">
        <f t="shared" si="0"/>
        <v>42400</v>
      </c>
      <c r="N23" s="5">
        <v>25000</v>
      </c>
      <c r="O23" s="5">
        <v>15000</v>
      </c>
      <c r="P23" s="8">
        <v>16</v>
      </c>
      <c r="Q23" s="5">
        <f t="shared" si="1"/>
        <v>2400</v>
      </c>
    </row>
    <row r="24" spans="1:17" x14ac:dyDescent="0.2">
      <c r="A24" s="3">
        <v>46318</v>
      </c>
      <c r="B24" s="4" t="s">
        <v>18</v>
      </c>
      <c r="C24" s="4" t="s">
        <v>17</v>
      </c>
      <c r="D24" s="7">
        <v>23</v>
      </c>
      <c r="E24" s="7">
        <v>23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5">
        <f t="shared" si="0"/>
        <v>42400</v>
      </c>
      <c r="N24" s="5">
        <v>25000</v>
      </c>
      <c r="O24" s="5">
        <v>15000</v>
      </c>
      <c r="P24" s="8">
        <v>16</v>
      </c>
      <c r="Q24" s="5">
        <f t="shared" si="1"/>
        <v>2400</v>
      </c>
    </row>
    <row r="25" spans="1:17" x14ac:dyDescent="0.2">
      <c r="A25" s="3">
        <v>46319</v>
      </c>
      <c r="B25" s="4" t="s">
        <v>18</v>
      </c>
      <c r="C25" s="4" t="s">
        <v>17</v>
      </c>
      <c r="D25" s="7">
        <v>24</v>
      </c>
      <c r="E25" s="7">
        <v>24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5">
        <f t="shared" si="0"/>
        <v>42400</v>
      </c>
      <c r="N25" s="5">
        <v>25000</v>
      </c>
      <c r="O25" s="5">
        <v>15000</v>
      </c>
      <c r="P25" s="8">
        <v>16</v>
      </c>
      <c r="Q25" s="5">
        <f t="shared" si="1"/>
        <v>2400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Rodriguez Colmenares</cp:lastModifiedBy>
  <dcterms:created xsi:type="dcterms:W3CDTF">2026-04-30T13:39:10Z</dcterms:created>
  <dcterms:modified xsi:type="dcterms:W3CDTF">2026-06-13T14:05:52Z</dcterms:modified>
</cp:coreProperties>
</file>